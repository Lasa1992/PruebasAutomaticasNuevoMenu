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Martinez\Desktop\"/>
    </mc:Choice>
  </mc:AlternateContent>
  <xr:revisionPtr revIDLastSave="0" documentId="13_ncr:1_{A9089F44-D996-423A-A10D-26EE0DD340F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signar datos" sheetId="1" r:id="rId1"/>
    <sheet name="Instrucciones de llenado" sheetId="2" r:id="rId2"/>
    <sheet name="Forma de pago" sheetId="3" r:id="rId3"/>
    <sheet name="Unidad de embalaje" sheetId="4" r:id="rId4"/>
    <sheet name="Tipo de unidad" sheetId="5" r:id="rId5"/>
    <sheet name="Región de transito" sheetId="6" r:id="rId6"/>
    <sheet name="Clientes" sheetId="7" state="hidden" r:id="rId7"/>
    <sheet name="Rutas-Trayectos" sheetId="8" r:id="rId8"/>
    <sheet name="Origen-Remitente" sheetId="9" state="hidden" r:id="rId9"/>
  </sheets>
  <definedNames>
    <definedName name="Clientes">Clientes!$A$2:$A$10000</definedName>
    <definedName name="IdClientes">_xlfn._xlws.FILTER(Clientes!$C$2:$C$10000,Clientes!$C$2:$C$10000&lt;&gt;"")</definedName>
    <definedName name="RemitenteDestinatario">'Origen-Remitente'!$A$2:$A$10000</definedName>
    <definedName name="Rutas">_xlfn._xlws.FILTER('Rutas-Trayectos'!$A$2:$A$10000,'Rutas-Trayectos'!$A$2:$A$10000&lt;&gt;"")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 a="1"/>
  <c r="E2" i="8" s="1"/>
  <c r="C3" i="7"/>
  <c r="C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8662" i="7"/>
  <c r="C8663" i="7"/>
  <c r="C8664" i="7"/>
  <c r="C8665" i="7"/>
  <c r="C8666" i="7"/>
  <c r="C8667" i="7"/>
  <c r="C8668" i="7"/>
  <c r="C8669" i="7"/>
  <c r="C8670" i="7"/>
  <c r="C8671" i="7"/>
  <c r="C8672" i="7"/>
  <c r="C8673" i="7"/>
  <c r="C8674" i="7"/>
  <c r="C8675" i="7"/>
  <c r="C8676" i="7"/>
  <c r="C8677" i="7"/>
  <c r="C8678" i="7"/>
  <c r="C8679" i="7"/>
  <c r="C8680" i="7"/>
  <c r="C8681" i="7"/>
  <c r="C8682" i="7"/>
  <c r="C8683" i="7"/>
  <c r="C8684" i="7"/>
  <c r="C8685" i="7"/>
  <c r="C8686" i="7"/>
  <c r="C8687" i="7"/>
  <c r="C8688" i="7"/>
  <c r="C8689" i="7"/>
  <c r="C8690" i="7"/>
  <c r="C8691" i="7"/>
  <c r="C8692" i="7"/>
  <c r="C8693" i="7"/>
  <c r="C8694" i="7"/>
  <c r="C8695" i="7"/>
  <c r="C8696" i="7"/>
  <c r="C8697" i="7"/>
  <c r="C8698" i="7"/>
  <c r="C8699" i="7"/>
  <c r="C8700" i="7"/>
  <c r="C8701" i="7"/>
  <c r="C8702" i="7"/>
  <c r="C8703" i="7"/>
  <c r="C8704" i="7"/>
  <c r="C8705" i="7"/>
  <c r="C8706" i="7"/>
  <c r="C8707" i="7"/>
  <c r="C8708" i="7"/>
  <c r="C8709" i="7"/>
  <c r="C8710" i="7"/>
  <c r="C8711" i="7"/>
  <c r="C8712" i="7"/>
  <c r="C8713" i="7"/>
  <c r="C8714" i="7"/>
  <c r="C8715" i="7"/>
  <c r="C8716" i="7"/>
  <c r="C8717" i="7"/>
  <c r="C8718" i="7"/>
  <c r="C8719" i="7"/>
  <c r="C8720" i="7"/>
  <c r="C8721" i="7"/>
  <c r="C8722" i="7"/>
  <c r="C8723" i="7"/>
  <c r="C8724" i="7"/>
  <c r="C8725" i="7"/>
  <c r="C8726" i="7"/>
  <c r="C8727" i="7"/>
  <c r="C8728" i="7"/>
  <c r="C8729" i="7"/>
  <c r="C8730" i="7"/>
  <c r="C8731" i="7"/>
  <c r="C8732" i="7"/>
  <c r="C8733" i="7"/>
  <c r="C8734" i="7"/>
  <c r="C8735" i="7"/>
  <c r="C8736" i="7"/>
  <c r="C8737" i="7"/>
  <c r="C8738" i="7"/>
  <c r="C8739" i="7"/>
  <c r="C8740" i="7"/>
  <c r="C8741" i="7"/>
  <c r="C8742" i="7"/>
  <c r="C8743" i="7"/>
  <c r="C8744" i="7"/>
  <c r="C8745" i="7"/>
  <c r="C8746" i="7"/>
  <c r="C8747" i="7"/>
  <c r="C8748" i="7"/>
  <c r="C8749" i="7"/>
  <c r="C8750" i="7"/>
  <c r="C8751" i="7"/>
  <c r="C8752" i="7"/>
  <c r="C8753" i="7"/>
  <c r="C8754" i="7"/>
  <c r="C8755" i="7"/>
  <c r="C8756" i="7"/>
  <c r="C8757" i="7"/>
  <c r="C8758" i="7"/>
  <c r="C8759" i="7"/>
  <c r="C8760" i="7"/>
  <c r="C8761" i="7"/>
  <c r="C8762" i="7"/>
  <c r="C8763" i="7"/>
  <c r="C8764" i="7"/>
  <c r="C8765" i="7"/>
  <c r="C8766" i="7"/>
  <c r="C8767" i="7"/>
  <c r="C8768" i="7"/>
  <c r="C8769" i="7"/>
  <c r="C8770" i="7"/>
  <c r="C8771" i="7"/>
  <c r="C8772" i="7"/>
  <c r="C8773" i="7"/>
  <c r="C8774" i="7"/>
  <c r="C8775" i="7"/>
  <c r="C8776" i="7"/>
  <c r="C8777" i="7"/>
  <c r="C8778" i="7"/>
  <c r="C8779" i="7"/>
  <c r="C8780" i="7"/>
  <c r="C8781" i="7"/>
  <c r="C8782" i="7"/>
  <c r="C8783" i="7"/>
  <c r="C8784" i="7"/>
  <c r="C8785" i="7"/>
  <c r="C8786" i="7"/>
  <c r="C8787" i="7"/>
  <c r="C8788" i="7"/>
  <c r="C8789" i="7"/>
  <c r="C8790" i="7"/>
  <c r="C8791" i="7"/>
  <c r="C8792" i="7"/>
  <c r="C8793" i="7"/>
  <c r="C8794" i="7"/>
  <c r="C8795" i="7"/>
  <c r="C8796" i="7"/>
  <c r="C8797" i="7"/>
  <c r="C8798" i="7"/>
  <c r="C8799" i="7"/>
  <c r="C8800" i="7"/>
  <c r="C8801" i="7"/>
  <c r="C8802" i="7"/>
  <c r="C8803" i="7"/>
  <c r="C8804" i="7"/>
  <c r="C8805" i="7"/>
  <c r="C8806" i="7"/>
  <c r="C8807" i="7"/>
  <c r="C8808" i="7"/>
  <c r="C8809" i="7"/>
  <c r="C8810" i="7"/>
  <c r="C8811" i="7"/>
  <c r="C8812" i="7"/>
  <c r="C8813" i="7"/>
  <c r="C8814" i="7"/>
  <c r="C8815" i="7"/>
  <c r="C8816" i="7"/>
  <c r="C8817" i="7"/>
  <c r="C8818" i="7"/>
  <c r="C8819" i="7"/>
  <c r="C8820" i="7"/>
  <c r="C8821" i="7"/>
  <c r="C8822" i="7"/>
  <c r="C8823" i="7"/>
  <c r="C8824" i="7"/>
  <c r="C8825" i="7"/>
  <c r="C8826" i="7"/>
  <c r="C8827" i="7"/>
  <c r="C8828" i="7"/>
  <c r="C8829" i="7"/>
  <c r="C8830" i="7"/>
  <c r="C8831" i="7"/>
  <c r="C8832" i="7"/>
  <c r="C8833" i="7"/>
  <c r="C8834" i="7"/>
  <c r="C8835" i="7"/>
  <c r="C8836" i="7"/>
  <c r="C8837" i="7"/>
  <c r="C8838" i="7"/>
  <c r="C8839" i="7"/>
  <c r="C8840" i="7"/>
  <c r="C8841" i="7"/>
  <c r="C8842" i="7"/>
  <c r="C8843" i="7"/>
  <c r="C8844" i="7"/>
  <c r="C8845" i="7"/>
  <c r="C8846" i="7"/>
  <c r="C8847" i="7"/>
  <c r="C8848" i="7"/>
  <c r="C8849" i="7"/>
  <c r="C8850" i="7"/>
  <c r="C8851" i="7"/>
  <c r="C8852" i="7"/>
  <c r="C8853" i="7"/>
  <c r="C8854" i="7"/>
  <c r="C8855" i="7"/>
  <c r="C8856" i="7"/>
  <c r="C8857" i="7"/>
  <c r="C8858" i="7"/>
  <c r="C8859" i="7"/>
  <c r="C8860" i="7"/>
  <c r="C8861" i="7"/>
  <c r="C8862" i="7"/>
  <c r="C8863" i="7"/>
  <c r="C8864" i="7"/>
  <c r="C8865" i="7"/>
  <c r="C8866" i="7"/>
  <c r="C8867" i="7"/>
  <c r="C8868" i="7"/>
  <c r="C8869" i="7"/>
  <c r="C8870" i="7"/>
  <c r="C8871" i="7"/>
  <c r="C8872" i="7"/>
  <c r="C8873" i="7"/>
  <c r="C8874" i="7"/>
  <c r="C8875" i="7"/>
  <c r="C8876" i="7"/>
  <c r="C8877" i="7"/>
  <c r="C8878" i="7"/>
  <c r="C8879" i="7"/>
  <c r="C8880" i="7"/>
  <c r="C8881" i="7"/>
  <c r="C8882" i="7"/>
  <c r="C8883" i="7"/>
  <c r="C8884" i="7"/>
  <c r="C8885" i="7"/>
  <c r="C8886" i="7"/>
  <c r="C8887" i="7"/>
  <c r="C8888" i="7"/>
  <c r="C8889" i="7"/>
  <c r="C8890" i="7"/>
  <c r="C8891" i="7"/>
  <c r="C8892" i="7"/>
  <c r="C8893" i="7"/>
  <c r="C8894" i="7"/>
  <c r="C8895" i="7"/>
  <c r="C8896" i="7"/>
  <c r="C8897" i="7"/>
  <c r="C8898" i="7"/>
  <c r="C8899" i="7"/>
  <c r="C8900" i="7"/>
  <c r="C8901" i="7"/>
  <c r="C8902" i="7"/>
  <c r="C8903" i="7"/>
  <c r="C8904" i="7"/>
  <c r="C8905" i="7"/>
  <c r="C8906" i="7"/>
  <c r="C8907" i="7"/>
  <c r="C8908" i="7"/>
  <c r="C8909" i="7"/>
  <c r="C8910" i="7"/>
  <c r="C8911" i="7"/>
  <c r="C8912" i="7"/>
  <c r="C8913" i="7"/>
  <c r="C8914" i="7"/>
  <c r="C8915" i="7"/>
  <c r="C8916" i="7"/>
  <c r="C8917" i="7"/>
  <c r="C8918" i="7"/>
  <c r="C8919" i="7"/>
  <c r="C8920" i="7"/>
  <c r="C8921" i="7"/>
  <c r="C8922" i="7"/>
  <c r="C8923" i="7"/>
  <c r="C8924" i="7"/>
  <c r="C8925" i="7"/>
  <c r="C8926" i="7"/>
  <c r="C8927" i="7"/>
  <c r="C8928" i="7"/>
  <c r="C8929" i="7"/>
  <c r="C8930" i="7"/>
  <c r="C8931" i="7"/>
  <c r="C8932" i="7"/>
  <c r="C8933" i="7"/>
  <c r="C8934" i="7"/>
  <c r="C8935" i="7"/>
  <c r="C8936" i="7"/>
  <c r="C8937" i="7"/>
  <c r="C8938" i="7"/>
  <c r="C8939" i="7"/>
  <c r="C8940" i="7"/>
  <c r="C8941" i="7"/>
  <c r="C8942" i="7"/>
  <c r="C8943" i="7"/>
  <c r="C8944" i="7"/>
  <c r="C8945" i="7"/>
  <c r="C8946" i="7"/>
  <c r="C8947" i="7"/>
  <c r="C8948" i="7"/>
  <c r="C8949" i="7"/>
  <c r="C8950" i="7"/>
  <c r="C8951" i="7"/>
  <c r="C8952" i="7"/>
  <c r="C8953" i="7"/>
  <c r="C8954" i="7"/>
  <c r="C8955" i="7"/>
  <c r="C8956" i="7"/>
  <c r="C8957" i="7"/>
  <c r="C8958" i="7"/>
  <c r="C8959" i="7"/>
  <c r="C8960" i="7"/>
  <c r="C8961" i="7"/>
  <c r="C8962" i="7"/>
  <c r="C8963" i="7"/>
  <c r="C8964" i="7"/>
  <c r="C8965" i="7"/>
  <c r="C8966" i="7"/>
  <c r="C8967" i="7"/>
  <c r="C8968" i="7"/>
  <c r="C8969" i="7"/>
  <c r="C8970" i="7"/>
  <c r="C8971" i="7"/>
  <c r="C8972" i="7"/>
  <c r="C8973" i="7"/>
  <c r="C8974" i="7"/>
  <c r="C8975" i="7"/>
  <c r="C8976" i="7"/>
  <c r="C8977" i="7"/>
  <c r="C8978" i="7"/>
  <c r="C8979" i="7"/>
  <c r="C8980" i="7"/>
  <c r="C8981" i="7"/>
  <c r="C8982" i="7"/>
  <c r="C8983" i="7"/>
  <c r="C8984" i="7"/>
  <c r="C8985" i="7"/>
  <c r="C8986" i="7"/>
  <c r="C8987" i="7"/>
  <c r="C8988" i="7"/>
  <c r="C8989" i="7"/>
  <c r="C8990" i="7"/>
  <c r="C8991" i="7"/>
  <c r="C8992" i="7"/>
  <c r="C8993" i="7"/>
  <c r="C8994" i="7"/>
  <c r="C8995" i="7"/>
  <c r="C8996" i="7"/>
  <c r="C8997" i="7"/>
  <c r="C8998" i="7"/>
  <c r="C8999" i="7"/>
  <c r="C9000" i="7"/>
  <c r="C9001" i="7"/>
  <c r="C9002" i="7"/>
  <c r="C9003" i="7"/>
  <c r="C9004" i="7"/>
  <c r="C9005" i="7"/>
  <c r="C9006" i="7"/>
  <c r="C9007" i="7"/>
  <c r="C9008" i="7"/>
  <c r="C9009" i="7"/>
  <c r="C9010" i="7"/>
  <c r="C9011" i="7"/>
  <c r="C9012" i="7"/>
  <c r="C9013" i="7"/>
  <c r="C9014" i="7"/>
  <c r="C9015" i="7"/>
  <c r="C9016" i="7"/>
  <c r="C9017" i="7"/>
  <c r="C9018" i="7"/>
  <c r="C9019" i="7"/>
  <c r="C9020" i="7"/>
  <c r="C9021" i="7"/>
  <c r="C9022" i="7"/>
  <c r="C9023" i="7"/>
  <c r="C9024" i="7"/>
  <c r="C9025" i="7"/>
  <c r="C9026" i="7"/>
  <c r="C9027" i="7"/>
  <c r="C9028" i="7"/>
  <c r="C9029" i="7"/>
  <c r="C9030" i="7"/>
  <c r="C9031" i="7"/>
  <c r="C9032" i="7"/>
  <c r="C9033" i="7"/>
  <c r="C9034" i="7"/>
  <c r="C9035" i="7"/>
  <c r="C9036" i="7"/>
  <c r="C9037" i="7"/>
  <c r="C9038" i="7"/>
  <c r="C9039" i="7"/>
  <c r="C9040" i="7"/>
  <c r="C9041" i="7"/>
  <c r="C9042" i="7"/>
  <c r="C9043" i="7"/>
  <c r="C9044" i="7"/>
  <c r="C9045" i="7"/>
  <c r="C9046" i="7"/>
  <c r="C9047" i="7"/>
  <c r="C9048" i="7"/>
  <c r="C9049" i="7"/>
  <c r="C9050" i="7"/>
  <c r="C9051" i="7"/>
  <c r="C9052" i="7"/>
  <c r="C9053" i="7"/>
  <c r="C9054" i="7"/>
  <c r="C9055" i="7"/>
  <c r="C9056" i="7"/>
  <c r="C9057" i="7"/>
  <c r="C9058" i="7"/>
  <c r="C9059" i="7"/>
  <c r="C9060" i="7"/>
  <c r="C9061" i="7"/>
  <c r="C9062" i="7"/>
  <c r="C9063" i="7"/>
  <c r="C9064" i="7"/>
  <c r="C9065" i="7"/>
  <c r="C9066" i="7"/>
  <c r="C9067" i="7"/>
  <c r="C9068" i="7"/>
  <c r="C9069" i="7"/>
  <c r="C9070" i="7"/>
  <c r="C9071" i="7"/>
  <c r="C9072" i="7"/>
  <c r="C9073" i="7"/>
  <c r="C9074" i="7"/>
  <c r="C9075" i="7"/>
  <c r="C9076" i="7"/>
  <c r="C9077" i="7"/>
  <c r="C9078" i="7"/>
  <c r="C9079" i="7"/>
  <c r="C9080" i="7"/>
  <c r="C9081" i="7"/>
  <c r="C9082" i="7"/>
  <c r="C9083" i="7"/>
  <c r="C9084" i="7"/>
  <c r="C9085" i="7"/>
  <c r="C9086" i="7"/>
  <c r="C9087" i="7"/>
  <c r="C9088" i="7"/>
  <c r="C9089" i="7"/>
  <c r="C9090" i="7"/>
  <c r="C9091" i="7"/>
  <c r="C9092" i="7"/>
  <c r="C9093" i="7"/>
  <c r="C9094" i="7"/>
  <c r="C9095" i="7"/>
  <c r="C9096" i="7"/>
  <c r="C9097" i="7"/>
  <c r="C9098" i="7"/>
  <c r="C9099" i="7"/>
  <c r="C9100" i="7"/>
  <c r="C9101" i="7"/>
  <c r="C9102" i="7"/>
  <c r="C9103" i="7"/>
  <c r="C9104" i="7"/>
  <c r="C9105" i="7"/>
  <c r="C9106" i="7"/>
  <c r="C9107" i="7"/>
  <c r="C9108" i="7"/>
  <c r="C9109" i="7"/>
  <c r="C9110" i="7"/>
  <c r="C9111" i="7"/>
  <c r="C9112" i="7"/>
  <c r="C9113" i="7"/>
  <c r="C9114" i="7"/>
  <c r="C9115" i="7"/>
  <c r="C9116" i="7"/>
  <c r="C9117" i="7"/>
  <c r="C9118" i="7"/>
  <c r="C9119" i="7"/>
  <c r="C9120" i="7"/>
  <c r="C9121" i="7"/>
  <c r="C9122" i="7"/>
  <c r="C9123" i="7"/>
  <c r="C9124" i="7"/>
  <c r="C9125" i="7"/>
  <c r="C9126" i="7"/>
  <c r="C9127" i="7"/>
  <c r="C9128" i="7"/>
  <c r="C9129" i="7"/>
  <c r="C9130" i="7"/>
  <c r="C9131" i="7"/>
  <c r="C9132" i="7"/>
  <c r="C9133" i="7"/>
  <c r="C9134" i="7"/>
  <c r="C9135" i="7"/>
  <c r="C9136" i="7"/>
  <c r="C9137" i="7"/>
  <c r="C9138" i="7"/>
  <c r="C9139" i="7"/>
  <c r="C9140" i="7"/>
  <c r="C9141" i="7"/>
  <c r="C9142" i="7"/>
  <c r="C9143" i="7"/>
  <c r="C9144" i="7"/>
  <c r="C9145" i="7"/>
  <c r="C9146" i="7"/>
  <c r="C9147" i="7"/>
  <c r="C9148" i="7"/>
  <c r="C9149" i="7"/>
  <c r="C9150" i="7"/>
  <c r="C9151" i="7"/>
  <c r="C9152" i="7"/>
  <c r="C9153" i="7"/>
  <c r="C9154" i="7"/>
  <c r="C9155" i="7"/>
  <c r="C9156" i="7"/>
  <c r="C9157" i="7"/>
  <c r="C9158" i="7"/>
  <c r="C9159" i="7"/>
  <c r="C9160" i="7"/>
  <c r="C9161" i="7"/>
  <c r="C9162" i="7"/>
  <c r="C9163" i="7"/>
  <c r="C9164" i="7"/>
  <c r="C9165" i="7"/>
  <c r="C9166" i="7"/>
  <c r="C9167" i="7"/>
  <c r="C9168" i="7"/>
  <c r="C9169" i="7"/>
  <c r="C9170" i="7"/>
  <c r="C9171" i="7"/>
  <c r="C9172" i="7"/>
  <c r="C9173" i="7"/>
  <c r="C9174" i="7"/>
  <c r="C9175" i="7"/>
  <c r="C9176" i="7"/>
  <c r="C9177" i="7"/>
  <c r="C9178" i="7"/>
  <c r="C9179" i="7"/>
  <c r="C9180" i="7"/>
  <c r="C9181" i="7"/>
  <c r="C9182" i="7"/>
  <c r="C9183" i="7"/>
  <c r="C9184" i="7"/>
  <c r="C9185" i="7"/>
  <c r="C9186" i="7"/>
  <c r="C9187" i="7"/>
  <c r="C9188" i="7"/>
  <c r="C9189" i="7"/>
  <c r="C9190" i="7"/>
  <c r="C9191" i="7"/>
  <c r="C9192" i="7"/>
  <c r="C9193" i="7"/>
  <c r="C9194" i="7"/>
  <c r="C9195" i="7"/>
  <c r="C9196" i="7"/>
  <c r="C9197" i="7"/>
  <c r="C9198" i="7"/>
  <c r="C9199" i="7"/>
  <c r="C9200" i="7"/>
  <c r="C9201" i="7"/>
  <c r="C9202" i="7"/>
  <c r="C9203" i="7"/>
  <c r="C9204" i="7"/>
  <c r="C9205" i="7"/>
  <c r="C9206" i="7"/>
  <c r="C9207" i="7"/>
  <c r="C9208" i="7"/>
  <c r="C9209" i="7"/>
  <c r="C9210" i="7"/>
  <c r="C9211" i="7"/>
  <c r="C9212" i="7"/>
  <c r="C9213" i="7"/>
  <c r="C9214" i="7"/>
  <c r="C9215" i="7"/>
  <c r="C9216" i="7"/>
  <c r="C9217" i="7"/>
  <c r="C9218" i="7"/>
  <c r="C9219" i="7"/>
  <c r="C9220" i="7"/>
  <c r="C9221" i="7"/>
  <c r="C9222" i="7"/>
  <c r="C9223" i="7"/>
  <c r="C9224" i="7"/>
  <c r="C9225" i="7"/>
  <c r="C9226" i="7"/>
  <c r="C9227" i="7"/>
  <c r="C9228" i="7"/>
  <c r="C9229" i="7"/>
  <c r="C9230" i="7"/>
  <c r="C9231" i="7"/>
  <c r="C9232" i="7"/>
  <c r="C9233" i="7"/>
  <c r="C9234" i="7"/>
  <c r="C9235" i="7"/>
  <c r="C9236" i="7"/>
  <c r="C9237" i="7"/>
  <c r="C9238" i="7"/>
  <c r="C9239" i="7"/>
  <c r="C9240" i="7"/>
  <c r="C9241" i="7"/>
  <c r="C9242" i="7"/>
  <c r="C9243" i="7"/>
  <c r="C9244" i="7"/>
  <c r="C9245" i="7"/>
  <c r="C9246" i="7"/>
  <c r="C9247" i="7"/>
  <c r="C9248" i="7"/>
  <c r="C9249" i="7"/>
  <c r="C9250" i="7"/>
  <c r="C9251" i="7"/>
  <c r="C9252" i="7"/>
  <c r="C9253" i="7"/>
  <c r="C9254" i="7"/>
  <c r="C9255" i="7"/>
  <c r="C9256" i="7"/>
  <c r="C9257" i="7"/>
  <c r="C9258" i="7"/>
  <c r="C9259" i="7"/>
  <c r="C9260" i="7"/>
  <c r="C9261" i="7"/>
  <c r="C9262" i="7"/>
  <c r="C9263" i="7"/>
  <c r="C9264" i="7"/>
  <c r="C9265" i="7"/>
  <c r="C9266" i="7"/>
  <c r="C9267" i="7"/>
  <c r="C9268" i="7"/>
  <c r="C9269" i="7"/>
  <c r="C9270" i="7"/>
  <c r="C9271" i="7"/>
  <c r="C9272" i="7"/>
  <c r="C9273" i="7"/>
  <c r="C9274" i="7"/>
  <c r="C9275" i="7"/>
  <c r="C9276" i="7"/>
  <c r="C9277" i="7"/>
  <c r="C9278" i="7"/>
  <c r="C9279" i="7"/>
  <c r="C9280" i="7"/>
  <c r="C9281" i="7"/>
  <c r="C9282" i="7"/>
  <c r="C9283" i="7"/>
  <c r="C9284" i="7"/>
  <c r="C9285" i="7"/>
  <c r="C9286" i="7"/>
  <c r="C9287" i="7"/>
  <c r="C9288" i="7"/>
  <c r="C9289" i="7"/>
  <c r="C9290" i="7"/>
  <c r="C9291" i="7"/>
  <c r="C9292" i="7"/>
  <c r="C9293" i="7"/>
  <c r="C9294" i="7"/>
  <c r="C9295" i="7"/>
  <c r="C9296" i="7"/>
  <c r="C9297" i="7"/>
  <c r="C9298" i="7"/>
  <c r="C9299" i="7"/>
  <c r="C9300" i="7"/>
  <c r="C9301" i="7"/>
  <c r="C9302" i="7"/>
  <c r="C9303" i="7"/>
  <c r="C9304" i="7"/>
  <c r="C9305" i="7"/>
  <c r="C9306" i="7"/>
  <c r="C9307" i="7"/>
  <c r="C9308" i="7"/>
  <c r="C9309" i="7"/>
  <c r="C9310" i="7"/>
  <c r="C9311" i="7"/>
  <c r="C9312" i="7"/>
  <c r="C9313" i="7"/>
  <c r="C9314" i="7"/>
  <c r="C9315" i="7"/>
  <c r="C9316" i="7"/>
  <c r="C9317" i="7"/>
  <c r="C9318" i="7"/>
  <c r="C9319" i="7"/>
  <c r="C9320" i="7"/>
  <c r="C9321" i="7"/>
  <c r="C9322" i="7"/>
  <c r="C9323" i="7"/>
  <c r="C9324" i="7"/>
  <c r="C9325" i="7"/>
  <c r="C9326" i="7"/>
  <c r="C9327" i="7"/>
  <c r="C9328" i="7"/>
  <c r="C9329" i="7"/>
  <c r="C9330" i="7"/>
  <c r="C9331" i="7"/>
  <c r="C9332" i="7"/>
  <c r="C9333" i="7"/>
  <c r="C9334" i="7"/>
  <c r="C9335" i="7"/>
  <c r="C9336" i="7"/>
  <c r="C9337" i="7"/>
  <c r="C9338" i="7"/>
  <c r="C9339" i="7"/>
  <c r="C9340" i="7"/>
  <c r="C9341" i="7"/>
  <c r="C9342" i="7"/>
  <c r="C9343" i="7"/>
  <c r="C9344" i="7"/>
  <c r="C9345" i="7"/>
  <c r="C9346" i="7"/>
  <c r="C9347" i="7"/>
  <c r="C9348" i="7"/>
  <c r="C9349" i="7"/>
  <c r="C9350" i="7"/>
  <c r="C9351" i="7"/>
  <c r="C9352" i="7"/>
  <c r="C9353" i="7"/>
  <c r="C9354" i="7"/>
  <c r="C9355" i="7"/>
  <c r="C9356" i="7"/>
  <c r="C9357" i="7"/>
  <c r="C9358" i="7"/>
  <c r="C9359" i="7"/>
  <c r="C9360" i="7"/>
  <c r="C9361" i="7"/>
  <c r="C9362" i="7"/>
  <c r="C9363" i="7"/>
  <c r="C9364" i="7"/>
  <c r="C9365" i="7"/>
  <c r="C9366" i="7"/>
  <c r="C9367" i="7"/>
  <c r="C9368" i="7"/>
  <c r="C9369" i="7"/>
  <c r="C9370" i="7"/>
  <c r="C9371" i="7"/>
  <c r="C9372" i="7"/>
  <c r="C9373" i="7"/>
  <c r="C9374" i="7"/>
  <c r="C9375" i="7"/>
  <c r="C9376" i="7"/>
  <c r="C9377" i="7"/>
  <c r="C9378" i="7"/>
  <c r="C9379" i="7"/>
  <c r="C9380" i="7"/>
  <c r="C9381" i="7"/>
  <c r="C9382" i="7"/>
  <c r="C9383" i="7"/>
  <c r="C9384" i="7"/>
  <c r="C9385" i="7"/>
  <c r="C9386" i="7"/>
  <c r="C9387" i="7"/>
  <c r="C9388" i="7"/>
  <c r="C9389" i="7"/>
  <c r="C9390" i="7"/>
  <c r="C9391" i="7"/>
  <c r="C9392" i="7"/>
  <c r="C9393" i="7"/>
  <c r="C9394" i="7"/>
  <c r="C9395" i="7"/>
  <c r="C9396" i="7"/>
  <c r="C9397" i="7"/>
  <c r="C9398" i="7"/>
  <c r="C9399" i="7"/>
  <c r="C9400" i="7"/>
  <c r="C9401" i="7"/>
  <c r="C9402" i="7"/>
  <c r="C9403" i="7"/>
  <c r="C9404" i="7"/>
  <c r="C9405" i="7"/>
  <c r="C9406" i="7"/>
  <c r="C9407" i="7"/>
  <c r="C9408" i="7"/>
  <c r="C9409" i="7"/>
  <c r="C9410" i="7"/>
  <c r="C9411" i="7"/>
  <c r="C9412" i="7"/>
  <c r="C9413" i="7"/>
  <c r="C9414" i="7"/>
  <c r="C9415" i="7"/>
  <c r="C9416" i="7"/>
  <c r="C9417" i="7"/>
  <c r="C9418" i="7"/>
  <c r="C9419" i="7"/>
  <c r="C9420" i="7"/>
  <c r="C9421" i="7"/>
  <c r="C9422" i="7"/>
  <c r="C9423" i="7"/>
  <c r="C9424" i="7"/>
  <c r="C9425" i="7"/>
  <c r="C9426" i="7"/>
  <c r="C9427" i="7"/>
  <c r="C9428" i="7"/>
  <c r="C9429" i="7"/>
  <c r="C9430" i="7"/>
  <c r="C9431" i="7"/>
  <c r="C9432" i="7"/>
  <c r="C9433" i="7"/>
  <c r="C9434" i="7"/>
  <c r="C9435" i="7"/>
  <c r="C9436" i="7"/>
  <c r="C9437" i="7"/>
  <c r="C9438" i="7"/>
  <c r="C9439" i="7"/>
  <c r="C9440" i="7"/>
  <c r="C9441" i="7"/>
  <c r="C9442" i="7"/>
  <c r="C9443" i="7"/>
  <c r="C9444" i="7"/>
  <c r="C9445" i="7"/>
  <c r="C9446" i="7"/>
  <c r="C9447" i="7"/>
  <c r="C9448" i="7"/>
  <c r="C9449" i="7"/>
  <c r="C9450" i="7"/>
  <c r="C9451" i="7"/>
  <c r="C9452" i="7"/>
  <c r="C9453" i="7"/>
  <c r="C9454" i="7"/>
  <c r="C9455" i="7"/>
  <c r="C9456" i="7"/>
  <c r="C9457" i="7"/>
  <c r="C9458" i="7"/>
  <c r="C9459" i="7"/>
  <c r="C9460" i="7"/>
  <c r="C9461" i="7"/>
  <c r="C9462" i="7"/>
  <c r="C9463" i="7"/>
  <c r="C9464" i="7"/>
  <c r="C9465" i="7"/>
  <c r="C9466" i="7"/>
  <c r="C9467" i="7"/>
  <c r="C9468" i="7"/>
  <c r="C9469" i="7"/>
  <c r="C9470" i="7"/>
  <c r="C9471" i="7"/>
  <c r="C9472" i="7"/>
  <c r="C9473" i="7"/>
  <c r="C9474" i="7"/>
  <c r="C9475" i="7"/>
  <c r="C9476" i="7"/>
  <c r="C9477" i="7"/>
  <c r="C9478" i="7"/>
  <c r="C9479" i="7"/>
  <c r="C9480" i="7"/>
  <c r="C9481" i="7"/>
  <c r="C9482" i="7"/>
  <c r="C9483" i="7"/>
  <c r="C9484" i="7"/>
  <c r="C9485" i="7"/>
  <c r="C9486" i="7"/>
  <c r="C9487" i="7"/>
  <c r="C9488" i="7"/>
  <c r="C9489" i="7"/>
  <c r="C9490" i="7"/>
  <c r="C9491" i="7"/>
  <c r="C9492" i="7"/>
  <c r="C9493" i="7"/>
  <c r="C9494" i="7"/>
  <c r="C9495" i="7"/>
  <c r="C9496" i="7"/>
  <c r="C9497" i="7"/>
  <c r="C9498" i="7"/>
  <c r="C9499" i="7"/>
  <c r="C9500" i="7"/>
  <c r="C9501" i="7"/>
  <c r="C9502" i="7"/>
  <c r="C9503" i="7"/>
  <c r="C9504" i="7"/>
  <c r="C9505" i="7"/>
  <c r="C9506" i="7"/>
  <c r="C9507" i="7"/>
  <c r="C9508" i="7"/>
  <c r="C9509" i="7"/>
  <c r="C9510" i="7"/>
  <c r="C9511" i="7"/>
  <c r="C9512" i="7"/>
  <c r="C9513" i="7"/>
  <c r="C9514" i="7"/>
  <c r="C9515" i="7"/>
  <c r="C9516" i="7"/>
  <c r="C9517" i="7"/>
  <c r="C9518" i="7"/>
  <c r="C9519" i="7"/>
  <c r="C9520" i="7"/>
  <c r="C9521" i="7"/>
  <c r="C9522" i="7"/>
  <c r="C9523" i="7"/>
  <c r="C9524" i="7"/>
  <c r="C9525" i="7"/>
  <c r="C9526" i="7"/>
  <c r="C9527" i="7"/>
  <c r="C9528" i="7"/>
  <c r="C9529" i="7"/>
  <c r="C9530" i="7"/>
  <c r="C9531" i="7"/>
  <c r="C9532" i="7"/>
  <c r="C9533" i="7"/>
  <c r="C9534" i="7"/>
  <c r="C9535" i="7"/>
  <c r="C9536" i="7"/>
  <c r="C9537" i="7"/>
  <c r="C9538" i="7"/>
  <c r="C9539" i="7"/>
  <c r="C9540" i="7"/>
  <c r="C9541" i="7"/>
  <c r="C9542" i="7"/>
  <c r="C9543" i="7"/>
  <c r="C9544" i="7"/>
  <c r="C9545" i="7"/>
  <c r="C9546" i="7"/>
  <c r="C9547" i="7"/>
  <c r="C9548" i="7"/>
  <c r="C9549" i="7"/>
  <c r="C9550" i="7"/>
  <c r="C9551" i="7"/>
  <c r="C9552" i="7"/>
  <c r="C9553" i="7"/>
  <c r="C9554" i="7"/>
  <c r="C9555" i="7"/>
  <c r="C9556" i="7"/>
  <c r="C9557" i="7"/>
  <c r="C9558" i="7"/>
  <c r="C9559" i="7"/>
  <c r="C9560" i="7"/>
  <c r="C9561" i="7"/>
  <c r="C9562" i="7"/>
  <c r="C9563" i="7"/>
  <c r="C9564" i="7"/>
  <c r="C9565" i="7"/>
  <c r="C9566" i="7"/>
  <c r="C9567" i="7"/>
  <c r="C9568" i="7"/>
  <c r="C9569" i="7"/>
  <c r="C9570" i="7"/>
  <c r="C9571" i="7"/>
  <c r="C9572" i="7"/>
  <c r="C9573" i="7"/>
  <c r="C9574" i="7"/>
  <c r="C9575" i="7"/>
  <c r="C9576" i="7"/>
  <c r="C9577" i="7"/>
  <c r="C9578" i="7"/>
  <c r="C9579" i="7"/>
  <c r="C9580" i="7"/>
  <c r="C9581" i="7"/>
  <c r="C9582" i="7"/>
  <c r="C9583" i="7"/>
  <c r="C9584" i="7"/>
  <c r="C9585" i="7"/>
  <c r="C9586" i="7"/>
  <c r="C9587" i="7"/>
  <c r="C9588" i="7"/>
  <c r="C9589" i="7"/>
  <c r="C9590" i="7"/>
  <c r="C9591" i="7"/>
  <c r="C9592" i="7"/>
  <c r="C9593" i="7"/>
  <c r="C9594" i="7"/>
  <c r="C9595" i="7"/>
  <c r="C9596" i="7"/>
  <c r="C9597" i="7"/>
  <c r="C9598" i="7"/>
  <c r="C9599" i="7"/>
  <c r="C9600" i="7"/>
  <c r="C9601" i="7"/>
  <c r="C9602" i="7"/>
  <c r="C9603" i="7"/>
  <c r="C9604" i="7"/>
  <c r="C9605" i="7"/>
  <c r="C9606" i="7"/>
  <c r="C9607" i="7"/>
  <c r="C9608" i="7"/>
  <c r="C9609" i="7"/>
  <c r="C9610" i="7"/>
  <c r="C9611" i="7"/>
  <c r="C9612" i="7"/>
  <c r="C9613" i="7"/>
  <c r="C9614" i="7"/>
  <c r="C9615" i="7"/>
  <c r="C9616" i="7"/>
  <c r="C9617" i="7"/>
  <c r="C9618" i="7"/>
  <c r="C9619" i="7"/>
  <c r="C9620" i="7"/>
  <c r="C9621" i="7"/>
  <c r="C9622" i="7"/>
  <c r="C9623" i="7"/>
  <c r="C9624" i="7"/>
  <c r="C9625" i="7"/>
  <c r="C9626" i="7"/>
  <c r="C9627" i="7"/>
  <c r="C9628" i="7"/>
  <c r="C9629" i="7"/>
  <c r="C9630" i="7"/>
  <c r="C9631" i="7"/>
  <c r="C9632" i="7"/>
  <c r="C9633" i="7"/>
  <c r="C9634" i="7"/>
  <c r="C9635" i="7"/>
  <c r="C9636" i="7"/>
  <c r="C9637" i="7"/>
  <c r="C9638" i="7"/>
  <c r="C9639" i="7"/>
  <c r="C9640" i="7"/>
  <c r="C9641" i="7"/>
  <c r="C9642" i="7"/>
  <c r="C9643" i="7"/>
  <c r="C9644" i="7"/>
  <c r="C9645" i="7"/>
  <c r="C9646" i="7"/>
  <c r="C9647" i="7"/>
  <c r="C9648" i="7"/>
  <c r="C9649" i="7"/>
  <c r="C9650" i="7"/>
  <c r="C9651" i="7"/>
  <c r="C9652" i="7"/>
  <c r="C9653" i="7"/>
  <c r="C9654" i="7"/>
  <c r="C9655" i="7"/>
  <c r="C9656" i="7"/>
  <c r="C9657" i="7"/>
  <c r="C9658" i="7"/>
  <c r="C9659" i="7"/>
  <c r="C9660" i="7"/>
  <c r="C9661" i="7"/>
  <c r="C9662" i="7"/>
  <c r="C9663" i="7"/>
  <c r="C9664" i="7"/>
  <c r="C9665" i="7"/>
  <c r="C9666" i="7"/>
  <c r="C9667" i="7"/>
  <c r="C9668" i="7"/>
  <c r="C9669" i="7"/>
  <c r="C9670" i="7"/>
  <c r="C9671" i="7"/>
  <c r="C9672" i="7"/>
  <c r="C9673" i="7"/>
  <c r="C9674" i="7"/>
  <c r="C9675" i="7"/>
  <c r="C9676" i="7"/>
  <c r="C9677" i="7"/>
  <c r="C9678" i="7"/>
  <c r="C9679" i="7"/>
  <c r="C9680" i="7"/>
  <c r="C9681" i="7"/>
  <c r="C9682" i="7"/>
  <c r="C9683" i="7"/>
  <c r="C9684" i="7"/>
  <c r="C9685" i="7"/>
  <c r="C9686" i="7"/>
  <c r="C9687" i="7"/>
  <c r="C9688" i="7"/>
  <c r="C9689" i="7"/>
  <c r="C9690" i="7"/>
  <c r="C9691" i="7"/>
  <c r="C9692" i="7"/>
  <c r="C9693" i="7"/>
  <c r="C9694" i="7"/>
  <c r="C9695" i="7"/>
  <c r="C9696" i="7"/>
  <c r="C9697" i="7"/>
  <c r="C9698" i="7"/>
  <c r="C9699" i="7"/>
  <c r="C9700" i="7"/>
  <c r="C9701" i="7"/>
  <c r="C9702" i="7"/>
  <c r="C9703" i="7"/>
  <c r="C9704" i="7"/>
  <c r="C9705" i="7"/>
  <c r="C9706" i="7"/>
  <c r="C9707" i="7"/>
  <c r="C9708" i="7"/>
  <c r="C9709" i="7"/>
  <c r="C9710" i="7"/>
  <c r="C9711" i="7"/>
  <c r="C9712" i="7"/>
  <c r="C9713" i="7"/>
  <c r="C9714" i="7"/>
  <c r="C9715" i="7"/>
  <c r="C9716" i="7"/>
  <c r="C9717" i="7"/>
  <c r="C9718" i="7"/>
  <c r="C9719" i="7"/>
  <c r="C9720" i="7"/>
  <c r="C9721" i="7"/>
  <c r="C9722" i="7"/>
  <c r="C9723" i="7"/>
  <c r="C9724" i="7"/>
  <c r="C9725" i="7"/>
  <c r="C9726" i="7"/>
  <c r="C9727" i="7"/>
  <c r="C9728" i="7"/>
  <c r="C9729" i="7"/>
  <c r="C9730" i="7"/>
  <c r="C9731" i="7"/>
  <c r="C9732" i="7"/>
  <c r="C9733" i="7"/>
  <c r="C9734" i="7"/>
  <c r="C9735" i="7"/>
  <c r="C9736" i="7"/>
  <c r="C9737" i="7"/>
  <c r="C9738" i="7"/>
  <c r="C9739" i="7"/>
  <c r="C9740" i="7"/>
  <c r="C9741" i="7"/>
  <c r="C9742" i="7"/>
  <c r="C9743" i="7"/>
  <c r="C9744" i="7"/>
  <c r="C9745" i="7"/>
  <c r="C9746" i="7"/>
  <c r="C9747" i="7"/>
  <c r="C9748" i="7"/>
  <c r="C9749" i="7"/>
  <c r="C9750" i="7"/>
  <c r="C9751" i="7"/>
  <c r="C9752" i="7"/>
  <c r="C9753" i="7"/>
  <c r="C9754" i="7"/>
  <c r="C9755" i="7"/>
  <c r="C9756" i="7"/>
  <c r="C9757" i="7"/>
  <c r="C9758" i="7"/>
  <c r="C9759" i="7"/>
  <c r="C9760" i="7"/>
  <c r="C9761" i="7"/>
  <c r="C9762" i="7"/>
  <c r="C9763" i="7"/>
  <c r="C9764" i="7"/>
  <c r="C9765" i="7"/>
  <c r="C9766" i="7"/>
  <c r="C9767" i="7"/>
  <c r="C9768" i="7"/>
  <c r="C9769" i="7"/>
  <c r="C9770" i="7"/>
  <c r="C9771" i="7"/>
  <c r="C9772" i="7"/>
  <c r="C9773" i="7"/>
  <c r="C9774" i="7"/>
  <c r="C9775" i="7"/>
  <c r="C9776" i="7"/>
  <c r="C9777" i="7"/>
  <c r="C9778" i="7"/>
  <c r="C9779" i="7"/>
  <c r="C9780" i="7"/>
  <c r="C9781" i="7"/>
  <c r="C9782" i="7"/>
  <c r="C9783" i="7"/>
  <c r="C9784" i="7"/>
  <c r="C9785" i="7"/>
  <c r="C9786" i="7"/>
  <c r="C9787" i="7"/>
  <c r="C9788" i="7"/>
  <c r="C9789" i="7"/>
  <c r="C9790" i="7"/>
  <c r="C9791" i="7"/>
  <c r="C9792" i="7"/>
  <c r="C9793" i="7"/>
  <c r="C9794" i="7"/>
  <c r="C9795" i="7"/>
  <c r="C9796" i="7"/>
  <c r="C9797" i="7"/>
  <c r="C9798" i="7"/>
  <c r="C9799" i="7"/>
  <c r="C9800" i="7"/>
  <c r="C9801" i="7"/>
  <c r="C9802" i="7"/>
  <c r="C9803" i="7"/>
  <c r="C9804" i="7"/>
  <c r="C9805" i="7"/>
  <c r="C9806" i="7"/>
  <c r="C9807" i="7"/>
  <c r="C9808" i="7"/>
  <c r="C9809" i="7"/>
  <c r="C9810" i="7"/>
  <c r="C9811" i="7"/>
  <c r="C9812" i="7"/>
  <c r="C9813" i="7"/>
  <c r="C9814" i="7"/>
  <c r="C9815" i="7"/>
  <c r="C9816" i="7"/>
  <c r="C9817" i="7"/>
  <c r="C9818" i="7"/>
  <c r="C9819" i="7"/>
  <c r="C9820" i="7"/>
  <c r="C9821" i="7"/>
  <c r="C9822" i="7"/>
  <c r="C9823" i="7"/>
  <c r="C9824" i="7"/>
  <c r="C9825" i="7"/>
  <c r="C9826" i="7"/>
  <c r="C9827" i="7"/>
  <c r="C9828" i="7"/>
  <c r="C9829" i="7"/>
  <c r="C9830" i="7"/>
  <c r="C9831" i="7"/>
  <c r="C9832" i="7"/>
  <c r="C9833" i="7"/>
  <c r="C9834" i="7"/>
  <c r="C9835" i="7"/>
  <c r="C9836" i="7"/>
  <c r="C9837" i="7"/>
  <c r="C9838" i="7"/>
  <c r="C9839" i="7"/>
  <c r="C9840" i="7"/>
  <c r="C9841" i="7"/>
  <c r="C9842" i="7"/>
  <c r="C9843" i="7"/>
  <c r="C9844" i="7"/>
  <c r="C9845" i="7"/>
  <c r="C9846" i="7"/>
  <c r="C9847" i="7"/>
  <c r="C9848" i="7"/>
  <c r="C9849" i="7"/>
  <c r="C9850" i="7"/>
  <c r="C9851" i="7"/>
  <c r="C9852" i="7"/>
  <c r="C9853" i="7"/>
  <c r="C9854" i="7"/>
  <c r="C9855" i="7"/>
  <c r="C9856" i="7"/>
  <c r="C9857" i="7"/>
  <c r="C9858" i="7"/>
  <c r="C9859" i="7"/>
  <c r="C9860" i="7"/>
  <c r="C9861" i="7"/>
  <c r="C9862" i="7"/>
  <c r="C9863" i="7"/>
  <c r="C9864" i="7"/>
  <c r="C9865" i="7"/>
  <c r="C9866" i="7"/>
  <c r="C9867" i="7"/>
  <c r="C9868" i="7"/>
  <c r="C9869" i="7"/>
  <c r="C9870" i="7"/>
  <c r="C9871" i="7"/>
  <c r="C9872" i="7"/>
  <c r="C9873" i="7"/>
  <c r="C9874" i="7"/>
  <c r="C9875" i="7"/>
  <c r="C9876" i="7"/>
  <c r="C9877" i="7"/>
  <c r="C9878" i="7"/>
  <c r="C9879" i="7"/>
  <c r="C9880" i="7"/>
  <c r="C9881" i="7"/>
  <c r="C9882" i="7"/>
  <c r="C9883" i="7"/>
  <c r="C9884" i="7"/>
  <c r="C9885" i="7"/>
  <c r="C9886" i="7"/>
  <c r="C9887" i="7"/>
  <c r="C9888" i="7"/>
  <c r="C9889" i="7"/>
  <c r="C9890" i="7"/>
  <c r="C9891" i="7"/>
  <c r="C9892" i="7"/>
  <c r="C9893" i="7"/>
  <c r="C9894" i="7"/>
  <c r="C9895" i="7"/>
  <c r="C9896" i="7"/>
  <c r="C9897" i="7"/>
  <c r="C9898" i="7"/>
  <c r="C9899" i="7"/>
  <c r="C9900" i="7"/>
  <c r="C9901" i="7"/>
  <c r="C9902" i="7"/>
  <c r="C9903" i="7"/>
  <c r="C9904" i="7"/>
  <c r="C9905" i="7"/>
  <c r="C9906" i="7"/>
  <c r="C9907" i="7"/>
  <c r="C9908" i="7"/>
  <c r="C9909" i="7"/>
  <c r="C9910" i="7"/>
  <c r="C9911" i="7"/>
  <c r="C9912" i="7"/>
  <c r="C9913" i="7"/>
  <c r="C9914" i="7"/>
  <c r="C9915" i="7"/>
  <c r="C9916" i="7"/>
  <c r="C9917" i="7"/>
  <c r="C9918" i="7"/>
  <c r="C9919" i="7"/>
  <c r="C9920" i="7"/>
  <c r="C9921" i="7"/>
  <c r="C9922" i="7"/>
  <c r="C9923" i="7"/>
  <c r="C9924" i="7"/>
  <c r="C9925" i="7"/>
  <c r="C9926" i="7"/>
  <c r="C9927" i="7"/>
  <c r="C9928" i="7"/>
  <c r="C9929" i="7"/>
  <c r="C9930" i="7"/>
  <c r="C9931" i="7"/>
  <c r="C9932" i="7"/>
  <c r="C9933" i="7"/>
  <c r="C9934" i="7"/>
  <c r="C9935" i="7"/>
  <c r="C9936" i="7"/>
  <c r="C9937" i="7"/>
  <c r="C9938" i="7"/>
  <c r="C9939" i="7"/>
  <c r="C9940" i="7"/>
  <c r="C9941" i="7"/>
  <c r="C9942" i="7"/>
  <c r="C9943" i="7"/>
  <c r="C9944" i="7"/>
  <c r="C9945" i="7"/>
  <c r="C9946" i="7"/>
  <c r="C9947" i="7"/>
  <c r="C9948" i="7"/>
  <c r="C9949" i="7"/>
  <c r="C9950" i="7"/>
  <c r="C9951" i="7"/>
  <c r="C9952" i="7"/>
  <c r="C9953" i="7"/>
  <c r="C9954" i="7"/>
  <c r="C9955" i="7"/>
  <c r="C9956" i="7"/>
  <c r="C9957" i="7"/>
  <c r="C9958" i="7"/>
  <c r="C9959" i="7"/>
  <c r="C9960" i="7"/>
  <c r="C9961" i="7"/>
  <c r="C9962" i="7"/>
  <c r="C9963" i="7"/>
  <c r="C9964" i="7"/>
  <c r="C9965" i="7"/>
  <c r="C9966" i="7"/>
  <c r="C9967" i="7"/>
  <c r="C9968" i="7"/>
  <c r="C9969" i="7"/>
  <c r="C9970" i="7"/>
  <c r="C9971" i="7"/>
  <c r="C9972" i="7"/>
  <c r="C9973" i="7"/>
  <c r="C9974" i="7"/>
  <c r="C9975" i="7"/>
  <c r="C9976" i="7"/>
  <c r="C9977" i="7"/>
  <c r="C9978" i="7"/>
  <c r="C9979" i="7"/>
  <c r="C9980" i="7"/>
  <c r="C9981" i="7"/>
  <c r="C9982" i="7"/>
  <c r="C9983" i="7"/>
  <c r="C9984" i="7"/>
  <c r="C9985" i="7"/>
  <c r="C9986" i="7"/>
  <c r="C9987" i="7"/>
  <c r="C9988" i="7"/>
  <c r="C9989" i="7"/>
  <c r="C9990" i="7"/>
  <c r="C9991" i="7"/>
  <c r="C9992" i="7"/>
  <c r="C9993" i="7"/>
  <c r="C9994" i="7"/>
  <c r="C9995" i="7"/>
  <c r="C9996" i="7"/>
  <c r="C9997" i="7"/>
  <c r="C9998" i="7"/>
  <c r="C9999" i="7"/>
  <c r="C10000" i="7"/>
  <c r="C10001" i="7"/>
  <c r="AAQ3" i="8" l="1" a="1"/>
  <c r="AAQ3" i="8" s="1"/>
  <c r="FZD3" i="8" a="1"/>
  <c r="FZD3" i="8" s="1"/>
  <c r="FLU3" i="8" a="1"/>
  <c r="FLU3" i="8" s="1"/>
  <c r="AAY3" i="8" a="1"/>
  <c r="AAY3" i="8" s="1"/>
  <c r="AAX3" i="8" a="1"/>
  <c r="AAX3" i="8" s="1"/>
  <c r="E3" i="8" a="1"/>
  <c r="E3" i="8" s="1"/>
  <c r="F3" i="8" a="1"/>
  <c r="F3" i="8" s="1"/>
  <c r="AAE3" i="8" a="1"/>
  <c r="AAE3" i="8" s="1"/>
  <c r="FYX3" i="8" a="1"/>
  <c r="FYX3" i="8" s="1"/>
  <c r="FYM3" i="8" a="1"/>
  <c r="FYM3" i="8" s="1"/>
  <c r="FYD3" i="8" a="1"/>
  <c r="FYD3" i="8" s="1"/>
  <c r="FXA3" i="8" a="1"/>
  <c r="FXA3" i="8" s="1"/>
  <c r="FWR3" i="8" a="1"/>
  <c r="FWR3" i="8" s="1"/>
  <c r="FWG3" i="8" a="1"/>
  <c r="FWG3" i="8" s="1"/>
  <c r="FVW3" i="8" a="1"/>
  <c r="FVW3" i="8" s="1"/>
  <c r="FVO3" i="8" a="1"/>
  <c r="FVO3" i="8" s="1"/>
  <c r="FVD3" i="8" a="1"/>
  <c r="FVD3" i="8" s="1"/>
  <c r="FUT3" i="8" a="1"/>
  <c r="FUT3" i="8" s="1"/>
  <c r="FUK3" i="8" a="1"/>
  <c r="FUK3" i="8" s="1"/>
  <c r="FUB3" i="8" a="1"/>
  <c r="FUB3" i="8" s="1"/>
  <c r="FTR3" i="8" a="1"/>
  <c r="FTR3" i="8" s="1"/>
  <c r="FTI3" i="8" a="1"/>
  <c r="FTI3" i="8" s="1"/>
  <c r="FSX3" i="8" a="1"/>
  <c r="FSX3" i="8" s="1"/>
  <c r="FSF3" i="8" a="1"/>
  <c r="FSF3" i="8" s="1"/>
  <c r="FRU3" i="8" a="1"/>
  <c r="FRU3" i="8" s="1"/>
  <c r="FRK3" i="8" a="1"/>
  <c r="FRK3" i="8" s="1"/>
  <c r="FRB3" i="8" a="1"/>
  <c r="FRB3" i="8" s="1"/>
  <c r="FQR3" i="8" a="1"/>
  <c r="FQR3" i="8" s="1"/>
  <c r="FQE3" i="8" a="1"/>
  <c r="FQE3" i="8" s="1"/>
  <c r="FPN3" i="8" a="1"/>
  <c r="FPN3" i="8" s="1"/>
  <c r="FOS3" i="8" a="1"/>
  <c r="FOS3" i="8" s="1"/>
  <c r="FNX3" i="8" a="1"/>
  <c r="FNX3" i="8" s="1"/>
  <c r="FNA3" i="8" a="1"/>
  <c r="FNA3" i="8" s="1"/>
  <c r="FZI3" i="8" a="1"/>
  <c r="FZI3" i="8" s="1"/>
  <c r="VQ3" i="8" a="1"/>
  <c r="VQ3" i="8" s="1"/>
  <c r="EJE3" i="8" a="1"/>
  <c r="EJE3" i="8" s="1"/>
  <c r="EKE3" i="8" a="1"/>
  <c r="EKE3" i="8" s="1"/>
  <c r="ELD3" i="8" a="1"/>
  <c r="ELD3" i="8" s="1"/>
  <c r="ELV3" i="8" a="1"/>
  <c r="ELV3" i="8" s="1"/>
  <c r="EMH3" i="8" a="1"/>
  <c r="EMH3" i="8" s="1"/>
  <c r="EMU3" i="8" a="1"/>
  <c r="EMU3" i="8" s="1"/>
  <c r="ENG3" i="8" a="1"/>
  <c r="ENG3" i="8" s="1"/>
  <c r="ENV3" i="8" a="1"/>
  <c r="ENV3" i="8" s="1"/>
  <c r="EOH3" i="8" a="1"/>
  <c r="EOH3" i="8" s="1"/>
  <c r="EOS3" i="8" a="1"/>
  <c r="EOS3" i="8" s="1"/>
  <c r="EPC3" i="8" a="1"/>
  <c r="EPC3" i="8" s="1"/>
  <c r="EPN3" i="8" a="1"/>
  <c r="EPN3" i="8" s="1"/>
  <c r="EPX3" i="8" a="1"/>
  <c r="EPX3" i="8" s="1"/>
  <c r="EQI3" i="8" a="1"/>
  <c r="EQI3" i="8" s="1"/>
  <c r="ERC3" i="8" a="1"/>
  <c r="ERC3" i="8" s="1"/>
  <c r="ERM3" i="8" a="1"/>
  <c r="ERM3" i="8" s="1"/>
  <c r="ERX3" i="8" a="1"/>
  <c r="ERX3" i="8" s="1"/>
  <c r="ESU3" i="8" a="1"/>
  <c r="ESU3" i="8" s="1"/>
  <c r="ETE3" i="8" a="1"/>
  <c r="ETE3" i="8" s="1"/>
  <c r="ETN3" i="8" a="1"/>
  <c r="ETN3" i="8" s="1"/>
  <c r="ETY3" i="8" a="1"/>
  <c r="ETY3" i="8" s="1"/>
  <c r="EUI3" i="8" a="1"/>
  <c r="EUI3" i="8" s="1"/>
  <c r="EUR3" i="8" a="1"/>
  <c r="EUR3" i="8" s="1"/>
  <c r="EVC3" i="8" a="1"/>
  <c r="EVC3" i="8" s="1"/>
  <c r="EVM3" i="8" a="1"/>
  <c r="EVM3" i="8" s="1"/>
  <c r="EVW3" i="8" a="1"/>
  <c r="EVW3" i="8" s="1"/>
  <c r="EWG3" i="8" a="1"/>
  <c r="EWG3" i="8" s="1"/>
  <c r="EXA3" i="8" a="1"/>
  <c r="EXA3" i="8" s="1"/>
  <c r="EXJ3" i="8" a="1"/>
  <c r="EXJ3" i="8" s="1"/>
  <c r="EXV3" i="8" a="1"/>
  <c r="EXV3" i="8" s="1"/>
  <c r="EYF3" i="8" a="1"/>
  <c r="EYF3" i="8" s="1"/>
  <c r="EYO3" i="8" a="1"/>
  <c r="EYO3" i="8" s="1"/>
  <c r="EYZ3" i="8" a="1"/>
  <c r="EYZ3" i="8" s="1"/>
  <c r="EZJ3" i="8" a="1"/>
  <c r="EZJ3" i="8" s="1"/>
  <c r="EZR3" i="8" a="1"/>
  <c r="EZR3" i="8" s="1"/>
  <c r="FAC3" i="8" a="1"/>
  <c r="FAC3" i="8" s="1"/>
  <c r="FAU3" i="8" a="1"/>
  <c r="FAU3" i="8" s="1"/>
  <c r="FBE3" i="8" a="1"/>
  <c r="FBE3" i="8" s="1"/>
  <c r="FBO3" i="8" a="1"/>
  <c r="FBO3" i="8" s="1"/>
  <c r="FBW3" i="8" a="1"/>
  <c r="FBW3" i="8" s="1"/>
  <c r="FCP3" i="8" a="1"/>
  <c r="FCP3" i="8" s="1"/>
  <c r="FCY3" i="8" a="1"/>
  <c r="FCY3" i="8" s="1"/>
  <c r="FDJ3" i="8" a="1"/>
  <c r="FDJ3" i="8" s="1"/>
  <c r="FDT3" i="8" a="1"/>
  <c r="FDT3" i="8" s="1"/>
  <c r="FEC3" i="8" a="1"/>
  <c r="FEC3" i="8" s="1"/>
  <c r="FEN3" i="8" a="1"/>
  <c r="FEN3" i="8" s="1"/>
  <c r="FFF3" i="8" a="1"/>
  <c r="FFF3" i="8" s="1"/>
  <c r="FGJ3" i="8" a="1"/>
  <c r="FGJ3" i="8" s="1"/>
  <c r="FGU3" i="8" a="1"/>
  <c r="FGU3" i="8" s="1"/>
  <c r="FHF3" i="8" a="1"/>
  <c r="FHF3" i="8" s="1"/>
  <c r="FHP3" i="8" a="1"/>
  <c r="FHP3" i="8" s="1"/>
  <c r="FHY3" i="8" a="1"/>
  <c r="FHY3" i="8" s="1"/>
  <c r="FIJ3" i="8" a="1"/>
  <c r="FIJ3" i="8" s="1"/>
  <c r="FJC3" i="8" a="1"/>
  <c r="FJC3" i="8" s="1"/>
  <c r="FJM3" i="8" a="1"/>
  <c r="FJM3" i="8" s="1"/>
  <c r="FJW3" i="8" a="1"/>
  <c r="FJW3" i="8" s="1"/>
  <c r="FKF3" i="8" a="1"/>
  <c r="FKF3" i="8" s="1"/>
  <c r="FKP3" i="8" a="1"/>
  <c r="FKP3" i="8" s="1"/>
  <c r="FKZ3" i="8" a="1"/>
  <c r="FKZ3" i="8" s="1"/>
  <c r="FLJ3" i="8" a="1"/>
  <c r="FLJ3" i="8" s="1"/>
  <c r="FMB3" i="8" a="1"/>
  <c r="FMB3" i="8" s="1"/>
  <c r="FML3" i="8" a="1"/>
  <c r="FML3" i="8" s="1"/>
  <c r="FNF3" i="8" a="1"/>
  <c r="FNF3" i="8" s="1"/>
  <c r="FNO3" i="8" a="1"/>
  <c r="FNO3" i="8" s="1"/>
  <c r="FOH3" i="8" a="1"/>
  <c r="FOH3" i="8" s="1"/>
  <c r="FOR3" i="8" a="1"/>
  <c r="FOR3" i="8" s="1"/>
  <c r="FPC3" i="8" a="1"/>
  <c r="FPC3" i="8" s="1"/>
  <c r="EGO3" i="8" a="1"/>
  <c r="EGO3" i="8" s="1"/>
  <c r="EHY3" i="8" a="1"/>
  <c r="EHY3" i="8" s="1"/>
  <c r="EKI3" i="8" a="1"/>
  <c r="EKI3" i="8" s="1"/>
  <c r="ELE3" i="8" a="1"/>
  <c r="ELE3" i="8" s="1"/>
  <c r="EMI3" i="8" a="1"/>
  <c r="EMI3" i="8" s="1"/>
  <c r="EMV3" i="8" a="1"/>
  <c r="EMV3" i="8" s="1"/>
  <c r="ENI3" i="8" a="1"/>
  <c r="ENI3" i="8" s="1"/>
  <c r="ENW3" i="8" a="1"/>
  <c r="ENW3" i="8" s="1"/>
  <c r="EOI3" i="8" a="1"/>
  <c r="EOI3" i="8" s="1"/>
  <c r="EPO3" i="8" a="1"/>
  <c r="EPO3" i="8" s="1"/>
  <c r="EPY3" i="8" a="1"/>
  <c r="EPY3" i="8" s="1"/>
  <c r="EQJ3" i="8" a="1"/>
  <c r="EQJ3" i="8" s="1"/>
  <c r="EQT3" i="8" a="1"/>
  <c r="EQT3" i="8" s="1"/>
  <c r="ERN3" i="8" a="1"/>
  <c r="ERN3" i="8" s="1"/>
  <c r="ERY3" i="8" a="1"/>
  <c r="ERY3" i="8" s="1"/>
  <c r="ESJ3" i="8" a="1"/>
  <c r="ESJ3" i="8" s="1"/>
  <c r="ESV3" i="8" a="1"/>
  <c r="ESV3" i="8" s="1"/>
  <c r="ETF3" i="8" a="1"/>
  <c r="ETF3" i="8" s="1"/>
  <c r="ETO3" i="8" a="1"/>
  <c r="ETO3" i="8" s="1"/>
  <c r="ETZ3" i="8" a="1"/>
  <c r="ETZ3" i="8" s="1"/>
  <c r="EUJ3" i="8" a="1"/>
  <c r="EUJ3" i="8" s="1"/>
  <c r="EUS3" i="8" a="1"/>
  <c r="EUS3" i="8" s="1"/>
  <c r="EVD3" i="8" a="1"/>
  <c r="EVD3" i="8" s="1"/>
  <c r="EVN3" i="8" a="1"/>
  <c r="EVN3" i="8" s="1"/>
  <c r="EVX3" i="8" a="1"/>
  <c r="EVX3" i="8" s="1"/>
  <c r="EWR3" i="8" a="1"/>
  <c r="EWR3" i="8" s="1"/>
  <c r="EXB3" i="8" a="1"/>
  <c r="EXB3" i="8" s="1"/>
  <c r="EXK3" i="8" a="1"/>
  <c r="EXK3" i="8" s="1"/>
  <c r="EXW3" i="8" a="1"/>
  <c r="EXW3" i="8" s="1"/>
  <c r="EYG3" i="8" a="1"/>
  <c r="EYG3" i="8" s="1"/>
  <c r="EYP3" i="8" a="1"/>
  <c r="EYP3" i="8" s="1"/>
  <c r="EZK3" i="8" a="1"/>
  <c r="EZK3" i="8" s="1"/>
  <c r="EZS3" i="8" a="1"/>
  <c r="EZS3" i="8" s="1"/>
  <c r="FAM3" i="8" a="1"/>
  <c r="FAM3" i="8" s="1"/>
  <c r="FAV3" i="8" a="1"/>
  <c r="FAV3" i="8" s="1"/>
  <c r="FBF3" i="8" a="1"/>
  <c r="FBF3" i="8" s="1"/>
  <c r="FBX3" i="8" a="1"/>
  <c r="FBX3" i="8" s="1"/>
  <c r="FCG3" i="8" a="1"/>
  <c r="FCG3" i="8" s="1"/>
  <c r="FCQ3" i="8" a="1"/>
  <c r="FCQ3" i="8" s="1"/>
  <c r="FCZ3" i="8" a="1"/>
  <c r="FCZ3" i="8" s="1"/>
  <c r="FDK3" i="8" a="1"/>
  <c r="FDK3" i="8" s="1"/>
  <c r="FDU3" i="8" a="1"/>
  <c r="FDU3" i="8" s="1"/>
  <c r="FED3" i="8" a="1"/>
  <c r="FED3" i="8" s="1"/>
  <c r="FEW3" i="8" a="1"/>
  <c r="FEW3" i="8" s="1"/>
  <c r="FFG3" i="8" a="1"/>
  <c r="FFG3" i="8" s="1"/>
  <c r="FFQ3" i="8" a="1"/>
  <c r="FFQ3" i="8" s="1"/>
  <c r="FGA3" i="8" a="1"/>
  <c r="FGA3" i="8" s="1"/>
  <c r="FGK3" i="8" a="1"/>
  <c r="FGK3" i="8" s="1"/>
  <c r="FGV3" i="8" a="1"/>
  <c r="FGV3" i="8" s="1"/>
  <c r="FHG3" i="8" a="1"/>
  <c r="FHG3" i="8" s="1"/>
  <c r="FHQ3" i="8" a="1"/>
  <c r="FHQ3" i="8" s="1"/>
  <c r="FHZ3" i="8" a="1"/>
  <c r="FHZ3" i="8" s="1"/>
  <c r="FIK3" i="8" a="1"/>
  <c r="FIK3" i="8" s="1"/>
  <c r="FIT3" i="8" a="1"/>
  <c r="FIT3" i="8" s="1"/>
  <c r="FJD3" i="8" a="1"/>
  <c r="FJD3" i="8" s="1"/>
  <c r="FJN3" i="8" a="1"/>
  <c r="FJN3" i="8" s="1"/>
  <c r="FJX3" i="8" a="1"/>
  <c r="FJX3" i="8" s="1"/>
  <c r="FKG3" i="8" a="1"/>
  <c r="FKG3" i="8" s="1"/>
  <c r="FLA3" i="8" a="1"/>
  <c r="FLA3" i="8" s="1"/>
  <c r="FLS3" i="8" a="1"/>
  <c r="FLS3" i="8" s="1"/>
  <c r="FMC3" i="8" a="1"/>
  <c r="FMC3" i="8" s="1"/>
  <c r="FMM3" i="8" a="1"/>
  <c r="FMM3" i="8" s="1"/>
  <c r="FMV3" i="8" a="1"/>
  <c r="FMV3" i="8" s="1"/>
  <c r="EEN3" i="8" a="1"/>
  <c r="EEN3" i="8" s="1"/>
  <c r="EGS3" i="8" a="1"/>
  <c r="EGS3" i="8" s="1"/>
  <c r="EIB3" i="8" a="1"/>
  <c r="EIB3" i="8" s="1"/>
  <c r="EJI3" i="8" a="1"/>
  <c r="EJI3" i="8" s="1"/>
  <c r="EKK3" i="8" a="1"/>
  <c r="EKK3" i="8" s="1"/>
  <c r="ELG3" i="8" a="1"/>
  <c r="ELG3" i="8" s="1"/>
  <c r="ELX3" i="8" a="1"/>
  <c r="ELX3" i="8" s="1"/>
  <c r="EMJ3" i="8" a="1"/>
  <c r="EMJ3" i="8" s="1"/>
  <c r="EMW3" i="8" a="1"/>
  <c r="EMW3" i="8" s="1"/>
  <c r="ENJ3" i="8" a="1"/>
  <c r="ENJ3" i="8" s="1"/>
  <c r="ENX3" i="8" a="1"/>
  <c r="ENX3" i="8" s="1"/>
  <c r="EOJ3" i="8" a="1"/>
  <c r="EOJ3" i="8" s="1"/>
  <c r="EOT3" i="8" a="1"/>
  <c r="EOT3" i="8" s="1"/>
  <c r="EPD3" i="8" a="1"/>
  <c r="EPD3" i="8" s="1"/>
  <c r="EPP3" i="8" a="1"/>
  <c r="EPP3" i="8" s="1"/>
  <c r="EPZ3" i="8" a="1"/>
  <c r="EPZ3" i="8" s="1"/>
  <c r="EQU3" i="8" a="1"/>
  <c r="EQU3" i="8" s="1"/>
  <c r="ERD3" i="8" a="1"/>
  <c r="ERD3" i="8" s="1"/>
  <c r="ERO3" i="8" a="1"/>
  <c r="ERO3" i="8" s="1"/>
  <c r="ERZ3" i="8" a="1"/>
  <c r="ERZ3" i="8" s="1"/>
  <c r="ESK3" i="8" a="1"/>
  <c r="ESK3" i="8" s="1"/>
  <c r="ESW3" i="8" a="1"/>
  <c r="ESW3" i="8" s="1"/>
  <c r="ETG3" i="8" a="1"/>
  <c r="ETG3" i="8" s="1"/>
  <c r="ETP3" i="8" a="1"/>
  <c r="ETP3" i="8" s="1"/>
  <c r="EUT3" i="8" a="1"/>
  <c r="EUT3" i="8" s="1"/>
  <c r="EVE3" i="8" a="1"/>
  <c r="EVE3" i="8" s="1"/>
  <c r="EVO3" i="8" a="1"/>
  <c r="EVO3" i="8" s="1"/>
  <c r="EVY3" i="8" a="1"/>
  <c r="EVY3" i="8" s="1"/>
  <c r="EWH3" i="8" a="1"/>
  <c r="EWH3" i="8" s="1"/>
  <c r="EWS3" i="8" a="1"/>
  <c r="EWS3" i="8" s="1"/>
  <c r="EXC3" i="8" a="1"/>
  <c r="EXC3" i="8" s="1"/>
  <c r="EXL3" i="8" a="1"/>
  <c r="EXL3" i="8" s="1"/>
  <c r="EYH3" i="8" a="1"/>
  <c r="EYH3" i="8" s="1"/>
  <c r="EYQ3" i="8" a="1"/>
  <c r="EYQ3" i="8" s="1"/>
  <c r="EZA3" i="8" a="1"/>
  <c r="EZA3" i="8" s="1"/>
  <c r="EZT3" i="8" a="1"/>
  <c r="EZT3" i="8" s="1"/>
  <c r="FAD3" i="8" a="1"/>
  <c r="FAD3" i="8" s="1"/>
  <c r="FAN3" i="8" a="1"/>
  <c r="FAN3" i="8" s="1"/>
  <c r="FAW3" i="8" a="1"/>
  <c r="FAW3" i="8" s="1"/>
  <c r="FBP3" i="8" a="1"/>
  <c r="FBP3" i="8" s="1"/>
  <c r="FBY3" i="8" a="1"/>
  <c r="FBY3" i="8" s="1"/>
  <c r="FCH3" i="8" a="1"/>
  <c r="FCH3" i="8" s="1"/>
  <c r="FCR3" i="8" a="1"/>
  <c r="FCR3" i="8" s="1"/>
  <c r="FDA3" i="8" a="1"/>
  <c r="FDA3" i="8" s="1"/>
  <c r="FDV3" i="8" a="1"/>
  <c r="FDV3" i="8" s="1"/>
  <c r="FEE3" i="8" a="1"/>
  <c r="FEE3" i="8" s="1"/>
  <c r="FEO3" i="8" a="1"/>
  <c r="FEO3" i="8" s="1"/>
  <c r="FEX3" i="8" a="1"/>
  <c r="FEX3" i="8" s="1"/>
  <c r="FFH3" i="8" a="1"/>
  <c r="FFH3" i="8" s="1"/>
  <c r="FFR3" i="8" a="1"/>
  <c r="FFR3" i="8" s="1"/>
  <c r="FGB3" i="8" a="1"/>
  <c r="FGB3" i="8" s="1"/>
  <c r="FGL3" i="8" a="1"/>
  <c r="FGL3" i="8" s="1"/>
  <c r="FHH3" i="8" a="1"/>
  <c r="FHH3" i="8" s="1"/>
  <c r="FHR3" i="8" a="1"/>
  <c r="FHR3" i="8" s="1"/>
  <c r="FIA3" i="8" a="1"/>
  <c r="FIA3" i="8" s="1"/>
  <c r="FIU3" i="8" a="1"/>
  <c r="FIU3" i="8" s="1"/>
  <c r="FJE3" i="8" a="1"/>
  <c r="FJE3" i="8" s="1"/>
  <c r="FJO3" i="8" a="1"/>
  <c r="FJO3" i="8" s="1"/>
  <c r="FJY3" i="8" a="1"/>
  <c r="FJY3" i="8" s="1"/>
  <c r="FKH3" i="8" a="1"/>
  <c r="FKH3" i="8" s="1"/>
  <c r="FKQ3" i="8" a="1"/>
  <c r="FKQ3" i="8" s="1"/>
  <c r="FLB3" i="8" a="1"/>
  <c r="FLB3" i="8" s="1"/>
  <c r="FLK3" i="8" a="1"/>
  <c r="FLK3" i="8" s="1"/>
  <c r="FLT3" i="8" a="1"/>
  <c r="FLT3" i="8" s="1"/>
  <c r="FMD3" i="8" a="1"/>
  <c r="FMD3" i="8" s="1"/>
  <c r="FMN3" i="8" a="1"/>
  <c r="FMN3" i="8" s="1"/>
  <c r="FMW3" i="8" a="1"/>
  <c r="FMW3" i="8" s="1"/>
  <c r="FNH3" i="8" a="1"/>
  <c r="FNH3" i="8" s="1"/>
  <c r="FNQ3" i="8" a="1"/>
  <c r="FNQ3" i="8" s="1"/>
  <c r="FNZ3" i="8" a="1"/>
  <c r="FNZ3" i="8" s="1"/>
  <c r="EEV3" i="8" a="1"/>
  <c r="EEV3" i="8" s="1"/>
  <c r="EID3" i="8" a="1"/>
  <c r="EID3" i="8" s="1"/>
  <c r="EJK3" i="8" a="1"/>
  <c r="EJK3" i="8" s="1"/>
  <c r="EKL3" i="8" a="1"/>
  <c r="EKL3" i="8" s="1"/>
  <c r="ELH3" i="8" a="1"/>
  <c r="ELH3" i="8" s="1"/>
  <c r="ELY3" i="8" a="1"/>
  <c r="ELY3" i="8" s="1"/>
  <c r="EMK3" i="8" a="1"/>
  <c r="EMK3" i="8" s="1"/>
  <c r="ENK3" i="8" a="1"/>
  <c r="ENK3" i="8" s="1"/>
  <c r="ENY3" i="8" a="1"/>
  <c r="ENY3" i="8" s="1"/>
  <c r="EOK3" i="8" a="1"/>
  <c r="EOK3" i="8" s="1"/>
  <c r="EOU3" i="8" a="1"/>
  <c r="EOU3" i="8" s="1"/>
  <c r="EPE3" i="8" a="1"/>
  <c r="EPE3" i="8" s="1"/>
  <c r="EPQ3" i="8" a="1"/>
  <c r="EPQ3" i="8" s="1"/>
  <c r="EQA3" i="8" a="1"/>
  <c r="EQA3" i="8" s="1"/>
  <c r="EQK3" i="8" a="1"/>
  <c r="EQK3" i="8" s="1"/>
  <c r="EQV3" i="8" a="1"/>
  <c r="EQV3" i="8" s="1"/>
  <c r="ERE3" i="8" a="1"/>
  <c r="ERE3" i="8" s="1"/>
  <c r="ESA3" i="8" a="1"/>
  <c r="ESA3" i="8" s="1"/>
  <c r="ESL3" i="8" a="1"/>
  <c r="ESL3" i="8" s="1"/>
  <c r="ESX3" i="8" a="1"/>
  <c r="ESX3" i="8" s="1"/>
  <c r="ETH3" i="8" a="1"/>
  <c r="ETH3" i="8" s="1"/>
  <c r="ETQ3" i="8" a="1"/>
  <c r="ETQ3" i="8" s="1"/>
  <c r="EUA3" i="8" a="1"/>
  <c r="EUA3" i="8" s="1"/>
  <c r="EUK3" i="8" a="1"/>
  <c r="EUK3" i="8" s="1"/>
  <c r="EUU3" i="8" a="1"/>
  <c r="EUU3" i="8" s="1"/>
  <c r="EVF3" i="8" a="1"/>
  <c r="EVF3" i="8" s="1"/>
  <c r="EVZ3" i="8" a="1"/>
  <c r="EVZ3" i="8" s="1"/>
  <c r="EWI3" i="8" a="1"/>
  <c r="EWI3" i="8" s="1"/>
  <c r="EWT3" i="8" a="1"/>
  <c r="EWT3" i="8" s="1"/>
  <c r="EXD3" i="8" a="1"/>
  <c r="EXD3" i="8" s="1"/>
  <c r="EXM3" i="8" a="1"/>
  <c r="EXM3" i="8" s="1"/>
  <c r="EXX3" i="8" a="1"/>
  <c r="EXX3" i="8" s="1"/>
  <c r="EYR3" i="8" a="1"/>
  <c r="EYR3" i="8" s="1"/>
  <c r="EZB3" i="8" a="1"/>
  <c r="EZB3" i="8" s="1"/>
  <c r="EZL3" i="8" a="1"/>
  <c r="EZL3" i="8" s="1"/>
  <c r="EZU3" i="8" a="1"/>
  <c r="EZU3" i="8" s="1"/>
  <c r="FAO3" i="8" a="1"/>
  <c r="FAO3" i="8" s="1"/>
  <c r="FAX3" i="8" a="1"/>
  <c r="FAX3" i="8" s="1"/>
  <c r="FBG3" i="8" a="1"/>
  <c r="FBG3" i="8" s="1"/>
  <c r="FBZ3" i="8" a="1"/>
  <c r="FBZ3" i="8" s="1"/>
  <c r="FCS3" i="8" a="1"/>
  <c r="FCS3" i="8" s="1"/>
  <c r="FDB3" i="8" a="1"/>
  <c r="FDB3" i="8" s="1"/>
  <c r="FDL3" i="8" a="1"/>
  <c r="FDL3" i="8" s="1"/>
  <c r="FDW3" i="8" a="1"/>
  <c r="FDW3" i="8" s="1"/>
  <c r="FEF3" i="8" a="1"/>
  <c r="FEF3" i="8" s="1"/>
  <c r="FEY3" i="8" a="1"/>
  <c r="FEY3" i="8" s="1"/>
  <c r="FFI3" i="8" a="1"/>
  <c r="FFI3" i="8" s="1"/>
  <c r="FFS3" i="8" a="1"/>
  <c r="FFS3" i="8" s="1"/>
  <c r="FGC3" i="8" a="1"/>
  <c r="FGC3" i="8" s="1"/>
  <c r="FGM3" i="8" a="1"/>
  <c r="FGM3" i="8" s="1"/>
  <c r="FGW3" i="8" a="1"/>
  <c r="FGW3" i="8" s="1"/>
  <c r="FHS3" i="8" a="1"/>
  <c r="FHS3" i="8" s="1"/>
  <c r="FIB3" i="8" a="1"/>
  <c r="FIB3" i="8" s="1"/>
  <c r="FIL3" i="8" a="1"/>
  <c r="FIL3" i="8" s="1"/>
  <c r="FIV3" i="8" a="1"/>
  <c r="FIV3" i="8" s="1"/>
  <c r="FJF3" i="8" a="1"/>
  <c r="FJF3" i="8" s="1"/>
  <c r="FJZ3" i="8" a="1"/>
  <c r="FJZ3" i="8" s="1"/>
  <c r="FKI3" i="8" a="1"/>
  <c r="FKI3" i="8" s="1"/>
  <c r="FKR3" i="8" a="1"/>
  <c r="FKR3" i="8" s="1"/>
  <c r="FLL3" i="8" a="1"/>
  <c r="FLL3" i="8" s="1"/>
  <c r="EGY3" i="8" a="1"/>
  <c r="EGY3" i="8" s="1"/>
  <c r="EIH3" i="8" a="1"/>
  <c r="EIH3" i="8" s="1"/>
  <c r="EJN3" i="8" a="1"/>
  <c r="EJN3" i="8" s="1"/>
  <c r="EKO3" i="8" a="1"/>
  <c r="EKO3" i="8" s="1"/>
  <c r="ELJ3" i="8" a="1"/>
  <c r="ELJ3" i="8" s="1"/>
  <c r="ELZ3" i="8" a="1"/>
  <c r="ELZ3" i="8" s="1"/>
  <c r="EMY3" i="8" a="1"/>
  <c r="EMY3" i="8" s="1"/>
  <c r="ENL3" i="8" a="1"/>
  <c r="ENL3" i="8" s="1"/>
  <c r="ENZ3" i="8" a="1"/>
  <c r="ENZ3" i="8" s="1"/>
  <c r="EOL3" i="8" a="1"/>
  <c r="EOL3" i="8" s="1"/>
  <c r="EOV3" i="8" a="1"/>
  <c r="EOV3" i="8" s="1"/>
  <c r="EPF3" i="8" a="1"/>
  <c r="EPF3" i="8" s="1"/>
  <c r="EPR3" i="8" a="1"/>
  <c r="EPR3" i="8" s="1"/>
  <c r="EQB3" i="8" a="1"/>
  <c r="EQB3" i="8" s="1"/>
  <c r="EQL3" i="8" a="1"/>
  <c r="EQL3" i="8" s="1"/>
  <c r="EQW3" i="8" a="1"/>
  <c r="EQW3" i="8" s="1"/>
  <c r="ERF3" i="8" a="1"/>
  <c r="ERF3" i="8" s="1"/>
  <c r="ERP3" i="8" a="1"/>
  <c r="ERP3" i="8" s="1"/>
  <c r="ESB3" i="8" a="1"/>
  <c r="ESB3" i="8" s="1"/>
  <c r="ESM3" i="8" a="1"/>
  <c r="ESM3" i="8" s="1"/>
  <c r="ETI3" i="8" a="1"/>
  <c r="ETI3" i="8" s="1"/>
  <c r="ETR3" i="8" a="1"/>
  <c r="ETR3" i="8" s="1"/>
  <c r="EUB3" i="8" a="1"/>
  <c r="EUB3" i="8" s="1"/>
  <c r="EUV3" i="8" a="1"/>
  <c r="EUV3" i="8" s="1"/>
  <c r="EVP3" i="8" a="1"/>
  <c r="EVP3" i="8" s="1"/>
  <c r="EWA3" i="8" a="1"/>
  <c r="EWA3" i="8" s="1"/>
  <c r="EWJ3" i="8" a="1"/>
  <c r="EWJ3" i="8" s="1"/>
  <c r="EXN3" i="8" a="1"/>
  <c r="EXN3" i="8" s="1"/>
  <c r="EXY3" i="8" a="1"/>
  <c r="EXY3" i="8" s="1"/>
  <c r="EYI3" i="8" a="1"/>
  <c r="EYI3" i="8" s="1"/>
  <c r="EYS3" i="8" a="1"/>
  <c r="EYS3" i="8" s="1"/>
  <c r="EZC3" i="8" a="1"/>
  <c r="EZC3" i="8" s="1"/>
  <c r="EZM3" i="8" a="1"/>
  <c r="EZM3" i="8" s="1"/>
  <c r="EZV3" i="8" a="1"/>
  <c r="EZV3" i="8" s="1"/>
  <c r="FAE3" i="8" a="1"/>
  <c r="FAE3" i="8" s="1"/>
  <c r="FAP3" i="8" a="1"/>
  <c r="FAP3" i="8" s="1"/>
  <c r="FBQ3" i="8" a="1"/>
  <c r="FBQ3" i="8" s="1"/>
  <c r="FCA3" i="8" a="1"/>
  <c r="FCA3" i="8" s="1"/>
  <c r="FCI3" i="8" a="1"/>
  <c r="FCI3" i="8" s="1"/>
  <c r="FCT3" i="8" a="1"/>
  <c r="FCT3" i="8" s="1"/>
  <c r="FDM3" i="8" a="1"/>
  <c r="FDM3" i="8" s="1"/>
  <c r="FEG3" i="8" a="1"/>
  <c r="FEG3" i="8" s="1"/>
  <c r="FEP3" i="8" a="1"/>
  <c r="FEP3" i="8" s="1"/>
  <c r="FEZ3" i="8" a="1"/>
  <c r="FEZ3" i="8" s="1"/>
  <c r="FFJ3" i="8" a="1"/>
  <c r="FFJ3" i="8" s="1"/>
  <c r="FFT3" i="8" a="1"/>
  <c r="FFT3" i="8" s="1"/>
  <c r="FGN3" i="8" a="1"/>
  <c r="FGN3" i="8" s="1"/>
  <c r="FGX3" i="8" a="1"/>
  <c r="FGX3" i="8" s="1"/>
  <c r="FHI3" i="8" a="1"/>
  <c r="FHI3" i="8" s="1"/>
  <c r="FHT3" i="8" a="1"/>
  <c r="FHT3" i="8" s="1"/>
  <c r="FIC3" i="8" a="1"/>
  <c r="FIC3" i="8" s="1"/>
  <c r="FIW3" i="8" a="1"/>
  <c r="FIW3" i="8" s="1"/>
  <c r="FJG3" i="8" a="1"/>
  <c r="FJG3" i="8" s="1"/>
  <c r="FJP3" i="8" a="1"/>
  <c r="FJP3" i="8" s="1"/>
  <c r="FKJ3" i="8" a="1"/>
  <c r="FKJ3" i="8" s="1"/>
  <c r="FKS3" i="8" a="1"/>
  <c r="FKS3" i="8" s="1"/>
  <c r="FLC3" i="8" a="1"/>
  <c r="FLC3" i="8" s="1"/>
  <c r="FLM3" i="8" a="1"/>
  <c r="FLM3" i="8" s="1"/>
  <c r="FLV3" i="8" a="1"/>
  <c r="FLV3" i="8" s="1"/>
  <c r="FMP3" i="8" a="1"/>
  <c r="FMP3" i="8" s="1"/>
  <c r="FMY3" i="8" a="1"/>
  <c r="FMY3" i="8" s="1"/>
  <c r="FNI3" i="8" a="1"/>
  <c r="FNI3" i="8" s="1"/>
  <c r="FNS3" i="8" a="1"/>
  <c r="FNS3" i="8" s="1"/>
  <c r="FOB3" i="8" a="1"/>
  <c r="FOB3" i="8" s="1"/>
  <c r="FOV3" i="8" a="1"/>
  <c r="FOV3" i="8" s="1"/>
  <c r="FPF3" i="8" a="1"/>
  <c r="FPF3" i="8" s="1"/>
  <c r="FPQ3" i="8" a="1"/>
  <c r="FPQ3" i="8" s="1"/>
  <c r="FQB3" i="8" a="1"/>
  <c r="FQB3" i="8" s="1"/>
  <c r="EFN3" i="8" a="1"/>
  <c r="EFN3" i="8" s="1"/>
  <c r="EIJ3" i="8" a="1"/>
  <c r="EIJ3" i="8" s="1"/>
  <c r="EJO3" i="8" a="1"/>
  <c r="EJO3" i="8" s="1"/>
  <c r="EKQ3" i="8" a="1"/>
  <c r="EKQ3" i="8" s="1"/>
  <c r="ELL3" i="8" a="1"/>
  <c r="ELL3" i="8" s="1"/>
  <c r="EMM3" i="8" a="1"/>
  <c r="EMM3" i="8" s="1"/>
  <c r="EMZ3" i="8" a="1"/>
  <c r="EMZ3" i="8" s="1"/>
  <c r="ENM3" i="8" a="1"/>
  <c r="ENM3" i="8" s="1"/>
  <c r="EOA3" i="8" a="1"/>
  <c r="EOA3" i="8" s="1"/>
  <c r="EOM3" i="8" a="1"/>
  <c r="EOM3" i="8" s="1"/>
  <c r="EOW3" i="8" a="1"/>
  <c r="EOW3" i="8" s="1"/>
  <c r="EPG3" i="8" a="1"/>
  <c r="EPG3" i="8" s="1"/>
  <c r="EPS3" i="8" a="1"/>
  <c r="EPS3" i="8" s="1"/>
  <c r="EQC3" i="8" a="1"/>
  <c r="EQC3" i="8" s="1"/>
  <c r="EQM3" i="8" a="1"/>
  <c r="EQM3" i="8" s="1"/>
  <c r="ERG3" i="8" a="1"/>
  <c r="ERG3" i="8" s="1"/>
  <c r="ERQ3" i="8" a="1"/>
  <c r="ERQ3" i="8" s="1"/>
  <c r="ESC3" i="8" a="1"/>
  <c r="ESC3" i="8" s="1"/>
  <c r="ESN3" i="8" a="1"/>
  <c r="ESN3" i="8" s="1"/>
  <c r="ESY3" i="8" a="1"/>
  <c r="ESY3" i="8" s="1"/>
  <c r="ETJ3" i="8" a="1"/>
  <c r="ETJ3" i="8" s="1"/>
  <c r="ETS3" i="8" a="1"/>
  <c r="ETS3" i="8" s="1"/>
  <c r="EUL3" i="8" a="1"/>
  <c r="EUL3" i="8" s="1"/>
  <c r="EUW3" i="8" a="1"/>
  <c r="EUW3" i="8" s="1"/>
  <c r="EVG3" i="8" a="1"/>
  <c r="EVG3" i="8" s="1"/>
  <c r="EVQ3" i="8" a="1"/>
  <c r="EVQ3" i="8" s="1"/>
  <c r="EWB3" i="8" a="1"/>
  <c r="EWB3" i="8" s="1"/>
  <c r="EWK3" i="8" a="1"/>
  <c r="EWK3" i="8" s="1"/>
  <c r="EWU3" i="8" a="1"/>
  <c r="EWU3" i="8" s="1"/>
  <c r="EXE3" i="8" a="1"/>
  <c r="EXE3" i="8" s="1"/>
  <c r="EXO3" i="8" a="1"/>
  <c r="EXO3" i="8" s="1"/>
  <c r="EXZ3" i="8" a="1"/>
  <c r="EXZ3" i="8" s="1"/>
  <c r="EYJ3" i="8" a="1"/>
  <c r="EYJ3" i="8" s="1"/>
  <c r="EYT3" i="8" a="1"/>
  <c r="EYT3" i="8" s="1"/>
  <c r="EZD3" i="8" a="1"/>
  <c r="EZD3" i="8" s="1"/>
  <c r="EZW3" i="8" a="1"/>
  <c r="EZW3" i="8" s="1"/>
  <c r="FAF3" i="8" a="1"/>
  <c r="FAF3" i="8" s="1"/>
  <c r="FAY3" i="8" a="1"/>
  <c r="FAY3" i="8" s="1"/>
  <c r="FBH3" i="8" a="1"/>
  <c r="FBH3" i="8" s="1"/>
  <c r="FBR3" i="8" a="1"/>
  <c r="FBR3" i="8" s="1"/>
  <c r="FCB3" i="8" a="1"/>
  <c r="FCB3" i="8" s="1"/>
  <c r="FCJ3" i="8" a="1"/>
  <c r="FCJ3" i="8" s="1"/>
  <c r="FDC3" i="8" a="1"/>
  <c r="FDC3" i="8" s="1"/>
  <c r="FDN3" i="8" a="1"/>
  <c r="FDN3" i="8" s="1"/>
  <c r="FDX3" i="8" a="1"/>
  <c r="FDX3" i="8" s="1"/>
  <c r="FEH3" i="8" a="1"/>
  <c r="FEH3" i="8" s="1"/>
  <c r="FEQ3" i="8" a="1"/>
  <c r="FEQ3" i="8" s="1"/>
  <c r="FFK3" i="8" a="1"/>
  <c r="FFK3" i="8" s="1"/>
  <c r="FFU3" i="8" a="1"/>
  <c r="FFU3" i="8" s="1"/>
  <c r="FGD3" i="8" a="1"/>
  <c r="FGD3" i="8" s="1"/>
  <c r="FGO3" i="8" a="1"/>
  <c r="FGO3" i="8" s="1"/>
  <c r="FGY3" i="8" a="1"/>
  <c r="FGY3" i="8" s="1"/>
  <c r="FHJ3" i="8" a="1"/>
  <c r="FHJ3" i="8" s="1"/>
  <c r="FHU3" i="8" a="1"/>
  <c r="FHU3" i="8" s="1"/>
  <c r="FID3" i="8" a="1"/>
  <c r="FID3" i="8" s="1"/>
  <c r="FIM3" i="8" a="1"/>
  <c r="FIM3" i="8" s="1"/>
  <c r="FJH3" i="8" a="1"/>
  <c r="FJH3" i="8" s="1"/>
  <c r="FKA3" i="8" a="1"/>
  <c r="FKA3" i="8" s="1"/>
  <c r="FLD3" i="8" a="1"/>
  <c r="FLD3" i="8" s="1"/>
  <c r="FMF3" i="8" a="1"/>
  <c r="FMF3" i="8" s="1"/>
  <c r="FMQ3" i="8" a="1"/>
  <c r="FMQ3" i="8" s="1"/>
  <c r="FMZ3" i="8" a="1"/>
  <c r="FMZ3" i="8" s="1"/>
  <c r="FNJ3" i="8" a="1"/>
  <c r="FNJ3" i="8" s="1"/>
  <c r="FNT3" i="8" a="1"/>
  <c r="FNT3" i="8" s="1"/>
  <c r="FOC3" i="8" a="1"/>
  <c r="FOC3" i="8" s="1"/>
  <c r="FOL3" i="8" a="1"/>
  <c r="FOL3" i="8" s="1"/>
  <c r="FOW3" i="8" a="1"/>
  <c r="FOW3" i="8" s="1"/>
  <c r="FPG3" i="8" a="1"/>
  <c r="FPG3" i="8" s="1"/>
  <c r="FQC3" i="8" a="1"/>
  <c r="FQC3" i="8" s="1"/>
  <c r="FQM3" i="8" a="1"/>
  <c r="FQM3" i="8" s="1"/>
  <c r="EFO3" i="8" a="1"/>
  <c r="EFO3" i="8" s="1"/>
  <c r="EHD3" i="8" a="1"/>
  <c r="EHD3" i="8" s="1"/>
  <c r="EIN3" i="8" a="1"/>
  <c r="EIN3" i="8" s="1"/>
  <c r="EJS3" i="8" a="1"/>
  <c r="EJS3" i="8" s="1"/>
  <c r="EKS3" i="8" a="1"/>
  <c r="EKS3" i="8" s="1"/>
  <c r="ELN3" i="8" a="1"/>
  <c r="ELN3" i="8" s="1"/>
  <c r="EMB3" i="8" a="1"/>
  <c r="EMB3" i="8" s="1"/>
  <c r="EMN3" i="8" a="1"/>
  <c r="EMN3" i="8" s="1"/>
  <c r="ENA3" i="8" a="1"/>
  <c r="ENA3" i="8" s="1"/>
  <c r="ENN3" i="8" a="1"/>
  <c r="ENN3" i="8" s="1"/>
  <c r="EOB3" i="8" a="1"/>
  <c r="EOB3" i="8" s="1"/>
  <c r="EON3" i="8" a="1"/>
  <c r="EON3" i="8" s="1"/>
  <c r="EOX3" i="8" a="1"/>
  <c r="EOX3" i="8" s="1"/>
  <c r="EPH3" i="8" a="1"/>
  <c r="EPH3" i="8" s="1"/>
  <c r="EQD3" i="8" a="1"/>
  <c r="EQD3" i="8" s="1"/>
  <c r="EQN3" i="8" a="1"/>
  <c r="EQN3" i="8" s="1"/>
  <c r="EQX3" i="8" a="1"/>
  <c r="EQX3" i="8" s="1"/>
  <c r="ERR3" i="8" a="1"/>
  <c r="ERR3" i="8" s="1"/>
  <c r="ESD3" i="8" a="1"/>
  <c r="ESD3" i="8" s="1"/>
  <c r="ESO3" i="8" a="1"/>
  <c r="ESO3" i="8" s="1"/>
  <c r="ESZ3" i="8" a="1"/>
  <c r="ESZ3" i="8" s="1"/>
  <c r="ETT3" i="8" a="1"/>
  <c r="ETT3" i="8" s="1"/>
  <c r="EUC3" i="8" a="1"/>
  <c r="EUC3" i="8" s="1"/>
  <c r="EUM3" i="8" a="1"/>
  <c r="EUM3" i="8" s="1"/>
  <c r="EUX3" i="8" a="1"/>
  <c r="EUX3" i="8" s="1"/>
  <c r="EVH3" i="8" a="1"/>
  <c r="EVH3" i="8" s="1"/>
  <c r="EVR3" i="8" a="1"/>
  <c r="EVR3" i="8" s="1"/>
  <c r="EWL3" i="8" a="1"/>
  <c r="EWL3" i="8" s="1"/>
  <c r="EWV3" i="8" a="1"/>
  <c r="EWV3" i="8" s="1"/>
  <c r="EXP3" i="8" a="1"/>
  <c r="EXP3" i="8" s="1"/>
  <c r="EYA3" i="8" a="1"/>
  <c r="EYA3" i="8" s="1"/>
  <c r="EYU3" i="8" a="1"/>
  <c r="EYU3" i="8" s="1"/>
  <c r="EZN3" i="8" a="1"/>
  <c r="EZN3" i="8" s="1"/>
  <c r="EZX3" i="8" a="1"/>
  <c r="EZX3" i="8" s="1"/>
  <c r="FAG3" i="8" a="1"/>
  <c r="FAG3" i="8" s="1"/>
  <c r="FAQ3" i="8" a="1"/>
  <c r="FAQ3" i="8" s="1"/>
  <c r="FAZ3" i="8" a="1"/>
  <c r="FAZ3" i="8" s="1"/>
  <c r="FBI3" i="8" a="1"/>
  <c r="FBI3" i="8" s="1"/>
  <c r="FCK3" i="8" a="1"/>
  <c r="FCK3" i="8" s="1"/>
  <c r="FCU3" i="8" a="1"/>
  <c r="FCU3" i="8" s="1"/>
  <c r="FDD3" i="8" a="1"/>
  <c r="FDD3" i="8" s="1"/>
  <c r="FDO3" i="8" a="1"/>
  <c r="FDO3" i="8" s="1"/>
  <c r="FDY3" i="8" a="1"/>
  <c r="FDY3" i="8" s="1"/>
  <c r="FEI3" i="8" a="1"/>
  <c r="FEI3" i="8" s="1"/>
  <c r="FER3" i="8" a="1"/>
  <c r="FER3" i="8" s="1"/>
  <c r="FFA3" i="8" a="1"/>
  <c r="FFA3" i="8" s="1"/>
  <c r="FFL3" i="8" a="1"/>
  <c r="FFL3" i="8" s="1"/>
  <c r="FFV3" i="8" a="1"/>
  <c r="FFV3" i="8" s="1"/>
  <c r="FGE3" i="8" a="1"/>
  <c r="FGE3" i="8" s="1"/>
  <c r="FGP3" i="8" a="1"/>
  <c r="FGP3" i="8" s="1"/>
  <c r="FGZ3" i="8" a="1"/>
  <c r="FGZ3" i="8" s="1"/>
  <c r="FHK3" i="8" a="1"/>
  <c r="FHK3" i="8" s="1"/>
  <c r="FIE3" i="8" a="1"/>
  <c r="FIE3" i="8" s="1"/>
  <c r="FIN3" i="8" a="1"/>
  <c r="FIN3" i="8" s="1"/>
  <c r="FIX3" i="8" a="1"/>
  <c r="FIX3" i="8" s="1"/>
  <c r="EFU3" i="8" a="1"/>
  <c r="EFU3" i="8" s="1"/>
  <c r="EHJ3" i="8" a="1"/>
  <c r="EHJ3" i="8" s="1"/>
  <c r="EIP3" i="8" a="1"/>
  <c r="EIP3" i="8" s="1"/>
  <c r="EJU3" i="8" a="1"/>
  <c r="EJU3" i="8" s="1"/>
  <c r="EKT3" i="8" a="1"/>
  <c r="EKT3" i="8" s="1"/>
  <c r="EMC3" i="8" a="1"/>
  <c r="EMC3" i="8" s="1"/>
  <c r="EMO3" i="8" a="1"/>
  <c r="EMO3" i="8" s="1"/>
  <c r="ENB3" i="8" a="1"/>
  <c r="ENB3" i="8" s="1"/>
  <c r="ENO3" i="8" a="1"/>
  <c r="ENO3" i="8" s="1"/>
  <c r="EOC3" i="8" a="1"/>
  <c r="EOC3" i="8" s="1"/>
  <c r="EOO3" i="8" a="1"/>
  <c r="EOO3" i="8" s="1"/>
  <c r="EOY3" i="8" a="1"/>
  <c r="EOY3" i="8" s="1"/>
  <c r="EPI3" i="8" a="1"/>
  <c r="EPI3" i="8" s="1"/>
  <c r="EPT3" i="8" a="1"/>
  <c r="EPT3" i="8" s="1"/>
  <c r="EQE3" i="8" a="1"/>
  <c r="EQE3" i="8" s="1"/>
  <c r="EQO3" i="8" a="1"/>
  <c r="EQO3" i="8" s="1"/>
  <c r="EQY3" i="8" a="1"/>
  <c r="EQY3" i="8" s="1"/>
  <c r="ERH3" i="8" a="1"/>
  <c r="ERH3" i="8" s="1"/>
  <c r="ERS3" i="8" a="1"/>
  <c r="ERS3" i="8" s="1"/>
  <c r="ESE3" i="8" a="1"/>
  <c r="ESE3" i="8" s="1"/>
  <c r="ESP3" i="8" a="1"/>
  <c r="ESP3" i="8" s="1"/>
  <c r="ETK3" i="8" a="1"/>
  <c r="ETK3" i="8" s="1"/>
  <c r="ETU3" i="8" a="1"/>
  <c r="ETU3" i="8" s="1"/>
  <c r="EUD3" i="8" a="1"/>
  <c r="EUD3" i="8" s="1"/>
  <c r="EUN3" i="8" a="1"/>
  <c r="EUN3" i="8" s="1"/>
  <c r="EUY3" i="8" a="1"/>
  <c r="EUY3" i="8" s="1"/>
  <c r="EVI3" i="8" a="1"/>
  <c r="EVI3" i="8" s="1"/>
  <c r="EVS3" i="8" a="1"/>
  <c r="EVS3" i="8" s="1"/>
  <c r="EWC3" i="8" a="1"/>
  <c r="EWC3" i="8" s="1"/>
  <c r="EWM3" i="8" a="1"/>
  <c r="EWM3" i="8" s="1"/>
  <c r="EXF3" i="8" a="1"/>
  <c r="EXF3" i="8" s="1"/>
  <c r="EXQ3" i="8" a="1"/>
  <c r="EXQ3" i="8" s="1"/>
  <c r="EYK3" i="8" a="1"/>
  <c r="EYK3" i="8" s="1"/>
  <c r="EYV3" i="8" a="1"/>
  <c r="EYV3" i="8" s="1"/>
  <c r="EZE3" i="8" a="1"/>
  <c r="EZE3" i="8" s="1"/>
  <c r="EZY3" i="8" a="1"/>
  <c r="EZY3" i="8" s="1"/>
  <c r="FAH3" i="8" a="1"/>
  <c r="FAH3" i="8" s="1"/>
  <c r="FBA3" i="8" a="1"/>
  <c r="FBA3" i="8" s="1"/>
  <c r="FBJ3" i="8" a="1"/>
  <c r="FBJ3" i="8" s="1"/>
  <c r="FBS3" i="8" a="1"/>
  <c r="FBS3" i="8" s="1"/>
  <c r="FCC3" i="8" a="1"/>
  <c r="FCC3" i="8" s="1"/>
  <c r="FCV3" i="8" a="1"/>
  <c r="FCV3" i="8" s="1"/>
  <c r="FDE3" i="8" a="1"/>
  <c r="FDE3" i="8" s="1"/>
  <c r="FDZ3" i="8" a="1"/>
  <c r="FDZ3" i="8" s="1"/>
  <c r="FEJ3" i="8" a="1"/>
  <c r="FEJ3" i="8" s="1"/>
  <c r="FFB3" i="8" a="1"/>
  <c r="FFB3" i="8" s="1"/>
  <c r="FFM3" i="8" a="1"/>
  <c r="FFM3" i="8" s="1"/>
  <c r="FFW3" i="8" a="1"/>
  <c r="FFW3" i="8" s="1"/>
  <c r="FGF3" i="8" a="1"/>
  <c r="FGF3" i="8" s="1"/>
  <c r="FGQ3" i="8" a="1"/>
  <c r="FGQ3" i="8" s="1"/>
  <c r="FHA3" i="8" a="1"/>
  <c r="FHA3" i="8" s="1"/>
  <c r="FHL3" i="8" a="1"/>
  <c r="FHL3" i="8" s="1"/>
  <c r="FHV3" i="8" a="1"/>
  <c r="FHV3" i="8" s="1"/>
  <c r="FIF3" i="8" a="1"/>
  <c r="FIF3" i="8" s="1"/>
  <c r="FIO3" i="8" a="1"/>
  <c r="FIO3" i="8" s="1"/>
  <c r="FIY3" i="8" a="1"/>
  <c r="FIY3" i="8" s="1"/>
  <c r="FJJ3" i="8" a="1"/>
  <c r="FJJ3" i="8" s="1"/>
  <c r="FJR3" i="8" a="1"/>
  <c r="FJR3" i="8" s="1"/>
  <c r="FKB3" i="8" a="1"/>
  <c r="FKB3" i="8" s="1"/>
  <c r="FKL3" i="8" a="1"/>
  <c r="FKL3" i="8" s="1"/>
  <c r="FKU3" i="8" a="1"/>
  <c r="FKU3" i="8" s="1"/>
  <c r="FLF3" i="8" a="1"/>
  <c r="FLF3" i="8" s="1"/>
  <c r="FLX3" i="8" a="1"/>
  <c r="FLX3" i="8" s="1"/>
  <c r="FMH3" i="8" a="1"/>
  <c r="FMH3" i="8" s="1"/>
  <c r="FNB3" i="8" a="1"/>
  <c r="FNB3" i="8" s="1"/>
  <c r="FNL3" i="8" a="1"/>
  <c r="FNL3" i="8" s="1"/>
  <c r="FOM3" i="8" a="1"/>
  <c r="FOM3" i="8" s="1"/>
  <c r="FPI3" i="8" a="1"/>
  <c r="FPI3" i="8" s="1"/>
  <c r="FPS3" i="8" a="1"/>
  <c r="FPS3" i="8" s="1"/>
  <c r="FQD3" i="8" a="1"/>
  <c r="FQD3" i="8" s="1"/>
  <c r="FQO3" i="8" a="1"/>
  <c r="FQO3" i="8" s="1"/>
  <c r="EHM3" i="8" a="1"/>
  <c r="EHM3" i="8" s="1"/>
  <c r="EIS3" i="8" a="1"/>
  <c r="EIS3" i="8" s="1"/>
  <c r="EJY3" i="8" a="1"/>
  <c r="EJY3" i="8" s="1"/>
  <c r="EKV3" i="8" a="1"/>
  <c r="EKV3" i="8" s="1"/>
  <c r="ELO3" i="8" a="1"/>
  <c r="ELO3" i="8" s="1"/>
  <c r="EME3" i="8" a="1"/>
  <c r="EME3" i="8" s="1"/>
  <c r="EMP3" i="8" a="1"/>
  <c r="EMP3" i="8" s="1"/>
  <c r="ENC3" i="8" a="1"/>
  <c r="ENC3" i="8" s="1"/>
  <c r="ENQ3" i="8" a="1"/>
  <c r="ENQ3" i="8" s="1"/>
  <c r="EOD3" i="8" a="1"/>
  <c r="EOD3" i="8" s="1"/>
  <c r="EOP3" i="8" a="1"/>
  <c r="EOP3" i="8" s="1"/>
  <c r="EOZ3" i="8" a="1"/>
  <c r="EOZ3" i="8" s="1"/>
  <c r="EPJ3" i="8" a="1"/>
  <c r="EPJ3" i="8" s="1"/>
  <c r="EPU3" i="8" a="1"/>
  <c r="EPU3" i="8" s="1"/>
  <c r="EQF3" i="8" a="1"/>
  <c r="EQF3" i="8" s="1"/>
  <c r="EQP3" i="8" a="1"/>
  <c r="EQP3" i="8" s="1"/>
  <c r="EQZ3" i="8" a="1"/>
  <c r="EQZ3" i="8" s="1"/>
  <c r="ERI3" i="8" a="1"/>
  <c r="ERI3" i="8" s="1"/>
  <c r="ERT3" i="8" a="1"/>
  <c r="ERT3" i="8" s="1"/>
  <c r="ESF3" i="8" a="1"/>
  <c r="ESF3" i="8" s="1"/>
  <c r="ESQ3" i="8" a="1"/>
  <c r="ESQ3" i="8" s="1"/>
  <c r="ETA3" i="8" a="1"/>
  <c r="ETA3" i="8" s="1"/>
  <c r="ETV3" i="8" a="1"/>
  <c r="ETV3" i="8" s="1"/>
  <c r="EUE3" i="8" a="1"/>
  <c r="EUE3" i="8" s="1"/>
  <c r="EUO3" i="8" a="1"/>
  <c r="EUO3" i="8" s="1"/>
  <c r="EUZ3" i="8" a="1"/>
  <c r="EUZ3" i="8" s="1"/>
  <c r="EVJ3" i="8" a="1"/>
  <c r="EVJ3" i="8" s="1"/>
  <c r="EVT3" i="8" a="1"/>
  <c r="EVT3" i="8" s="1"/>
  <c r="EWD3" i="8" a="1"/>
  <c r="EWD3" i="8" s="1"/>
  <c r="EWN3" i="8" a="1"/>
  <c r="EWN3" i="8" s="1"/>
  <c r="EWW3" i="8" a="1"/>
  <c r="EWW3" i="8" s="1"/>
  <c r="EXG3" i="8" a="1"/>
  <c r="EXG3" i="8" s="1"/>
  <c r="EXR3" i="8" a="1"/>
  <c r="EXR3" i="8" s="1"/>
  <c r="EYB3" i="8" a="1"/>
  <c r="EYB3" i="8" s="1"/>
  <c r="EYL3" i="8" a="1"/>
  <c r="EYL3" i="8" s="1"/>
  <c r="EZF3" i="8" a="1"/>
  <c r="EZF3" i="8" s="1"/>
  <c r="EZO3" i="8" a="1"/>
  <c r="EZO3" i="8" s="1"/>
  <c r="FAI3" i="8" a="1"/>
  <c r="FAI3" i="8" s="1"/>
  <c r="FAR3" i="8" a="1"/>
  <c r="FAR3" i="8" s="1"/>
  <c r="FBB3" i="8" a="1"/>
  <c r="FBB3" i="8" s="1"/>
  <c r="FBK3" i="8" a="1"/>
  <c r="FBK3" i="8" s="1"/>
  <c r="FBT3" i="8" a="1"/>
  <c r="FBT3" i="8" s="1"/>
  <c r="FCD3" i="8" a="1"/>
  <c r="FCD3" i="8" s="1"/>
  <c r="FCL3" i="8" a="1"/>
  <c r="FCL3" i="8" s="1"/>
  <c r="FDF3" i="8" a="1"/>
  <c r="FDF3" i="8" s="1"/>
  <c r="FDP3" i="8" a="1"/>
  <c r="FDP3" i="8" s="1"/>
  <c r="FEA3" i="8" a="1"/>
  <c r="FEA3" i="8" s="1"/>
  <c r="FES3" i="8" a="1"/>
  <c r="FES3" i="8" s="1"/>
  <c r="FFC3" i="8" a="1"/>
  <c r="FFC3" i="8" s="1"/>
  <c r="FFX3" i="8" a="1"/>
  <c r="FFX3" i="8" s="1"/>
  <c r="FGG3" i="8" a="1"/>
  <c r="FGG3" i="8" s="1"/>
  <c r="FGR3" i="8" a="1"/>
  <c r="FGR3" i="8" s="1"/>
  <c r="FHB3" i="8" a="1"/>
  <c r="FHB3" i="8" s="1"/>
  <c r="FIG3" i="8" a="1"/>
  <c r="FIG3" i="8" s="1"/>
  <c r="FIP3" i="8" a="1"/>
  <c r="FIP3" i="8" s="1"/>
  <c r="FJS3" i="8" a="1"/>
  <c r="FJS3" i="8" s="1"/>
  <c r="FKC3" i="8" a="1"/>
  <c r="FKC3" i="8" s="1"/>
  <c r="FKM3" i="8" a="1"/>
  <c r="FKM3" i="8" s="1"/>
  <c r="FKV3" i="8" a="1"/>
  <c r="FKV3" i="8" s="1"/>
  <c r="FLO3" i="8" a="1"/>
  <c r="FLO3" i="8" s="1"/>
  <c r="FLY3" i="8" a="1"/>
  <c r="FLY3" i="8" s="1"/>
  <c r="FMI3" i="8" a="1"/>
  <c r="FMI3" i="8" s="1"/>
  <c r="FMS3" i="8" a="1"/>
  <c r="FMS3" i="8" s="1"/>
  <c r="FNC3" i="8" a="1"/>
  <c r="FNC3" i="8" s="1"/>
  <c r="FNV3" i="8" a="1"/>
  <c r="FNV3" i="8" s="1"/>
  <c r="FOE3" i="8" a="1"/>
  <c r="FOE3" i="8" s="1"/>
  <c r="FON3" i="8" a="1"/>
  <c r="FON3" i="8" s="1"/>
  <c r="FOY3" i="8" a="1"/>
  <c r="FOY3" i="8" s="1"/>
  <c r="FPJ3" i="8" a="1"/>
  <c r="FPJ3" i="8" s="1"/>
  <c r="FPT3" i="8" a="1"/>
  <c r="FPT3" i="8" s="1"/>
  <c r="EFZ3" i="8" a="1"/>
  <c r="EFZ3" i="8" s="1"/>
  <c r="EIU3" i="8" a="1"/>
  <c r="EIU3" i="8" s="1"/>
  <c r="EJZ3" i="8" a="1"/>
  <c r="EJZ3" i="8" s="1"/>
  <c r="ELQ3" i="8" a="1"/>
  <c r="ELQ3" i="8" s="1"/>
  <c r="EMF3" i="8" a="1"/>
  <c r="EMF3" i="8" s="1"/>
  <c r="EMQ3" i="8" a="1"/>
  <c r="EMQ3" i="8" s="1"/>
  <c r="END3" i="8" a="1"/>
  <c r="END3" i="8" s="1"/>
  <c r="ENR3" i="8" a="1"/>
  <c r="ENR3" i="8" s="1"/>
  <c r="EOE3" i="8" a="1"/>
  <c r="EOE3" i="8" s="1"/>
  <c r="EPA3" i="8" a="1"/>
  <c r="EPA3" i="8" s="1"/>
  <c r="EPK3" i="8" a="1"/>
  <c r="EPK3" i="8" s="1"/>
  <c r="EQQ3" i="8" a="1"/>
  <c r="EQQ3" i="8" s="1"/>
  <c r="ERA3" i="8" a="1"/>
  <c r="ERA3" i="8" s="1"/>
  <c r="ERJ3" i="8" a="1"/>
  <c r="ERJ3" i="8" s="1"/>
  <c r="ERU3" i="8" a="1"/>
  <c r="ERU3" i="8" s="1"/>
  <c r="ESG3" i="8" a="1"/>
  <c r="ESG3" i="8" s="1"/>
  <c r="ESR3" i="8" a="1"/>
  <c r="ESR3" i="8" s="1"/>
  <c r="ETB3" i="8" a="1"/>
  <c r="ETB3" i="8" s="1"/>
  <c r="ETL3" i="8" a="1"/>
  <c r="ETL3" i="8" s="1"/>
  <c r="ETW3" i="8" a="1"/>
  <c r="ETW3" i="8" s="1"/>
  <c r="EUF3" i="8" a="1"/>
  <c r="EUF3" i="8" s="1"/>
  <c r="EVA3" i="8" a="1"/>
  <c r="EVA3" i="8" s="1"/>
  <c r="EWO3" i="8" a="1"/>
  <c r="EWO3" i="8" s="1"/>
  <c r="EWX3" i="8" a="1"/>
  <c r="EWX3" i="8" s="1"/>
  <c r="EXH3" i="8" a="1"/>
  <c r="EXH3" i="8" s="1"/>
  <c r="EXS3" i="8" a="1"/>
  <c r="EXS3" i="8" s="1"/>
  <c r="EYC3" i="8" a="1"/>
  <c r="EYC3" i="8" s="1"/>
  <c r="EYM3" i="8" a="1"/>
  <c r="EYM3" i="8" s="1"/>
  <c r="EYW3" i="8" a="1"/>
  <c r="EYW3" i="8" s="1"/>
  <c r="EZG3" i="8" a="1"/>
  <c r="EZG3" i="8" s="1"/>
  <c r="EZP3" i="8" a="1"/>
  <c r="EZP3" i="8" s="1"/>
  <c r="EZZ3" i="8" a="1"/>
  <c r="EZZ3" i="8" s="1"/>
  <c r="FAJ3" i="8" a="1"/>
  <c r="FAJ3" i="8" s="1"/>
  <c r="FAS3" i="8" a="1"/>
  <c r="FAS3" i="8" s="1"/>
  <c r="FBL3" i="8" a="1"/>
  <c r="FBL3" i="8" s="1"/>
  <c r="FBU3" i="8" a="1"/>
  <c r="FBU3" i="8" s="1"/>
  <c r="FCE3" i="8" a="1"/>
  <c r="FCE3" i="8" s="1"/>
  <c r="FCM3" i="8" a="1"/>
  <c r="FCM3" i="8" s="1"/>
  <c r="FCW3" i="8" a="1"/>
  <c r="FCW3" i="8" s="1"/>
  <c r="FDG3" i="8" a="1"/>
  <c r="FDG3" i="8" s="1"/>
  <c r="FDQ3" i="8" a="1"/>
  <c r="FDQ3" i="8" s="1"/>
  <c r="FEK3" i="8" a="1"/>
  <c r="FEK3" i="8" s="1"/>
  <c r="FET3" i="8" a="1"/>
  <c r="FET3" i="8" s="1"/>
  <c r="FFD3" i="8" a="1"/>
  <c r="FFD3" i="8" s="1"/>
  <c r="FFN3" i="8" a="1"/>
  <c r="FFN3" i="8" s="1"/>
  <c r="FFY3" i="8" a="1"/>
  <c r="FFY3" i="8" s="1"/>
  <c r="FGH3" i="8" a="1"/>
  <c r="FGH3" i="8" s="1"/>
  <c r="FHC3" i="8" a="1"/>
  <c r="FHC3" i="8" s="1"/>
  <c r="FHM3" i="8" a="1"/>
  <c r="FHM3" i="8" s="1"/>
  <c r="FHW3" i="8" a="1"/>
  <c r="FHW3" i="8" s="1"/>
  <c r="FIQ3" i="8" a="1"/>
  <c r="FIQ3" i="8" s="1"/>
  <c r="FIZ3" i="8" a="1"/>
  <c r="FIZ3" i="8" s="1"/>
  <c r="FJK3" i="8" a="1"/>
  <c r="FJK3" i="8" s="1"/>
  <c r="FJT3" i="8" a="1"/>
  <c r="FJT3" i="8" s="1"/>
  <c r="FKW3" i="8" a="1"/>
  <c r="FKW3" i="8" s="1"/>
  <c r="FLG3" i="8" a="1"/>
  <c r="FLG3" i="8" s="1"/>
  <c r="FLP3" i="8" a="1"/>
  <c r="FLP3" i="8" s="1"/>
  <c r="FLZ3" i="8" a="1"/>
  <c r="FLZ3" i="8" s="1"/>
  <c r="EGF3" i="8" a="1"/>
  <c r="EGF3" i="8" s="1"/>
  <c r="EHR3" i="8" a="1"/>
  <c r="EHR3" i="8" s="1"/>
  <c r="EIY3" i="8" a="1"/>
  <c r="EIY3" i="8" s="1"/>
  <c r="EKA3" i="8" a="1"/>
  <c r="EKA3" i="8" s="1"/>
  <c r="EKY3" i="8" a="1"/>
  <c r="EKY3" i="8" s="1"/>
  <c r="ELR3" i="8" a="1"/>
  <c r="ELR3" i="8" s="1"/>
  <c r="EMR3" i="8" a="1"/>
  <c r="EMR3" i="8" s="1"/>
  <c r="ENF3" i="8" a="1"/>
  <c r="ENF3" i="8" s="1"/>
  <c r="ENS3" i="8" a="1"/>
  <c r="ENS3" i="8" s="1"/>
  <c r="EOF3" i="8" a="1"/>
  <c r="EOF3" i="8" s="1"/>
  <c r="EOQ3" i="8" a="1"/>
  <c r="EOQ3" i="8" s="1"/>
  <c r="EPL3" i="8" a="1"/>
  <c r="EPL3" i="8" s="1"/>
  <c r="EPV3" i="8" a="1"/>
  <c r="EPV3" i="8" s="1"/>
  <c r="EQG3" i="8" a="1"/>
  <c r="EQG3" i="8" s="1"/>
  <c r="EQR3" i="8" a="1"/>
  <c r="EQR3" i="8" s="1"/>
  <c r="ERB3" i="8" a="1"/>
  <c r="ERB3" i="8" s="1"/>
  <c r="ERK3" i="8" a="1"/>
  <c r="ERK3" i="8" s="1"/>
  <c r="ERV3" i="8" a="1"/>
  <c r="ERV3" i="8" s="1"/>
  <c r="ESH3" i="8" a="1"/>
  <c r="ESH3" i="8" s="1"/>
  <c r="ESS3" i="8" a="1"/>
  <c r="ESS3" i="8" s="1"/>
  <c r="ETC3" i="8" a="1"/>
  <c r="ETC3" i="8" s="1"/>
  <c r="ETM3" i="8" a="1"/>
  <c r="ETM3" i="8" s="1"/>
  <c r="EUG3" i="8" a="1"/>
  <c r="EUG3" i="8" s="1"/>
  <c r="EUP3" i="8" a="1"/>
  <c r="EUP3" i="8" s="1"/>
  <c r="EVB3" i="8" a="1"/>
  <c r="EVB3" i="8" s="1"/>
  <c r="EVK3" i="8" a="1"/>
  <c r="EVK3" i="8" s="1"/>
  <c r="EVU3" i="8" a="1"/>
  <c r="EVU3" i="8" s="1"/>
  <c r="EWE3" i="8" a="1"/>
  <c r="EWE3" i="8" s="1"/>
  <c r="EWP3" i="8" a="1"/>
  <c r="EWP3" i="8" s="1"/>
  <c r="EWY3" i="8" a="1"/>
  <c r="EWY3" i="8" s="1"/>
  <c r="EXI3" i="8" a="1"/>
  <c r="EXI3" i="8" s="1"/>
  <c r="EXT3" i="8" a="1"/>
  <c r="EXT3" i="8" s="1"/>
  <c r="EYD3" i="8" a="1"/>
  <c r="EYD3" i="8" s="1"/>
  <c r="EYX3" i="8" a="1"/>
  <c r="EYX3" i="8" s="1"/>
  <c r="EZH3" i="8" a="1"/>
  <c r="EZH3" i="8" s="1"/>
  <c r="FAA3" i="8" a="1"/>
  <c r="FAA3" i="8" s="1"/>
  <c r="FAK3" i="8" a="1"/>
  <c r="FAK3" i="8" s="1"/>
  <c r="FAT3" i="8" a="1"/>
  <c r="FAT3" i="8" s="1"/>
  <c r="FBC3" i="8" a="1"/>
  <c r="FBC3" i="8" s="1"/>
  <c r="FBM3" i="8" a="1"/>
  <c r="FBM3" i="8" s="1"/>
  <c r="FCN3" i="8" a="1"/>
  <c r="FCN3" i="8" s="1"/>
  <c r="FCX3" i="8" a="1"/>
  <c r="FCX3" i="8" s="1"/>
  <c r="FDH3" i="8" a="1"/>
  <c r="FDH3" i="8" s="1"/>
  <c r="FDR3" i="8" a="1"/>
  <c r="FDR3" i="8" s="1"/>
  <c r="FEB3" i="8" a="1"/>
  <c r="FEB3" i="8" s="1"/>
  <c r="FEL3" i="8" a="1"/>
  <c r="FEL3" i="8" s="1"/>
  <c r="FEU3" i="8" a="1"/>
  <c r="FEU3" i="8" s="1"/>
  <c r="FFO3" i="8" a="1"/>
  <c r="FFO3" i="8" s="1"/>
  <c r="FGS3" i="8" a="1"/>
  <c r="FGS3" i="8" s="1"/>
  <c r="FHD3" i="8" a="1"/>
  <c r="FHD3" i="8" s="1"/>
  <c r="FHN3" i="8" a="1"/>
  <c r="FHN3" i="8" s="1"/>
  <c r="FHX3" i="8" a="1"/>
  <c r="FHX3" i="8" s="1"/>
  <c r="FIH3" i="8" a="1"/>
  <c r="FIH3" i="8" s="1"/>
  <c r="FIR3" i="8" a="1"/>
  <c r="FIR3" i="8" s="1"/>
  <c r="FJA3" i="8" a="1"/>
  <c r="FJA3" i="8" s="1"/>
  <c r="FJU3" i="8" a="1"/>
  <c r="FJU3" i="8" s="1"/>
  <c r="FKD3" i="8" a="1"/>
  <c r="FKD3" i="8" s="1"/>
  <c r="FKN3" i="8" a="1"/>
  <c r="FKN3" i="8" s="1"/>
  <c r="FKX3" i="8" a="1"/>
  <c r="FKX3" i="8" s="1"/>
  <c r="FLH3" i="8" a="1"/>
  <c r="FLH3" i="8" s="1"/>
  <c r="FLQ3" i="8" a="1"/>
  <c r="FLQ3" i="8" s="1"/>
  <c r="FMJ3" i="8" a="1"/>
  <c r="FMJ3" i="8" s="1"/>
  <c r="FNW3" i="8" a="1"/>
  <c r="FNW3" i="8" s="1"/>
  <c r="FOG3" i="8" a="1"/>
  <c r="FOG3" i="8" s="1"/>
  <c r="FOP3" i="8" a="1"/>
  <c r="FOP3" i="8" s="1"/>
  <c r="FPA3" i="8" a="1"/>
  <c r="FPA3" i="8" s="1"/>
  <c r="FPL3" i="8" a="1"/>
  <c r="FPL3" i="8" s="1"/>
  <c r="FPV3" i="8" a="1"/>
  <c r="FPV3" i="8" s="1"/>
  <c r="FQG3" i="8" a="1"/>
  <c r="FQG3" i="8" s="1"/>
  <c r="EGI3" i="8" a="1"/>
  <c r="EGI3" i="8" s="1"/>
  <c r="EHT3" i="8" a="1"/>
  <c r="EHT3" i="8" s="1"/>
  <c r="EJA3" i="8" a="1"/>
  <c r="EJA3" i="8" s="1"/>
  <c r="EKD3" i="8" a="1"/>
  <c r="EKD3" i="8" s="1"/>
  <c r="ELA3" i="8" a="1"/>
  <c r="ELA3" i="8" s="1"/>
  <c r="ELU3" i="8" a="1"/>
  <c r="ELU3" i="8" s="1"/>
  <c r="EMS3" i="8" a="1"/>
  <c r="EMS3" i="8" s="1"/>
  <c r="ENU3" i="8" a="1"/>
  <c r="ENU3" i="8" s="1"/>
  <c r="EOG3" i="8" a="1"/>
  <c r="EOG3" i="8" s="1"/>
  <c r="EOR3" i="8" a="1"/>
  <c r="EOR3" i="8" s="1"/>
  <c r="EPB3" i="8" a="1"/>
  <c r="EPB3" i="8" s="1"/>
  <c r="EPM3" i="8" a="1"/>
  <c r="EPM3" i="8" s="1"/>
  <c r="EPW3" i="8" a="1"/>
  <c r="EPW3" i="8" s="1"/>
  <c r="EQH3" i="8" a="1"/>
  <c r="EQH3" i="8" s="1"/>
  <c r="EQS3" i="8" a="1"/>
  <c r="EQS3" i="8" s="1"/>
  <c r="ERL3" i="8" a="1"/>
  <c r="ERL3" i="8" s="1"/>
  <c r="ERW3" i="8" a="1"/>
  <c r="ERW3" i="8" s="1"/>
  <c r="ESI3" i="8" a="1"/>
  <c r="ESI3" i="8" s="1"/>
  <c r="EST3" i="8" a="1"/>
  <c r="EST3" i="8" s="1"/>
  <c r="ETD3" i="8" a="1"/>
  <c r="ETD3" i="8" s="1"/>
  <c r="ETX3" i="8" a="1"/>
  <c r="ETX3" i="8" s="1"/>
  <c r="EUH3" i="8" a="1"/>
  <c r="EUH3" i="8" s="1"/>
  <c r="EUQ3" i="8" a="1"/>
  <c r="EUQ3" i="8" s="1"/>
  <c r="EVL3" i="8" a="1"/>
  <c r="EVL3" i="8" s="1"/>
  <c r="EVV3" i="8" a="1"/>
  <c r="EVV3" i="8" s="1"/>
  <c r="EWF3" i="8" a="1"/>
  <c r="EWF3" i="8" s="1"/>
  <c r="EWQ3" i="8" a="1"/>
  <c r="EWQ3" i="8" s="1"/>
  <c r="EWZ3" i="8" a="1"/>
  <c r="EWZ3" i="8" s="1"/>
  <c r="EXU3" i="8" a="1"/>
  <c r="EXU3" i="8" s="1"/>
  <c r="EYE3" i="8" a="1"/>
  <c r="EYE3" i="8" s="1"/>
  <c r="EYN3" i="8" a="1"/>
  <c r="EYN3" i="8" s="1"/>
  <c r="EYY3" i="8" a="1"/>
  <c r="EYY3" i="8" s="1"/>
  <c r="EZI3" i="8" a="1"/>
  <c r="EZI3" i="8" s="1"/>
  <c r="EZQ3" i="8" a="1"/>
  <c r="EZQ3" i="8" s="1"/>
  <c r="FAB3" i="8" a="1"/>
  <c r="FAB3" i="8" s="1"/>
  <c r="FAL3" i="8" a="1"/>
  <c r="FAL3" i="8" s="1"/>
  <c r="FBD3" i="8" a="1"/>
  <c r="FBD3" i="8" s="1"/>
  <c r="FBN3" i="8" a="1"/>
  <c r="FBN3" i="8" s="1"/>
  <c r="FBV3" i="8" a="1"/>
  <c r="FBV3" i="8" s="1"/>
  <c r="FCF3" i="8" a="1"/>
  <c r="FCF3" i="8" s="1"/>
  <c r="FCO3" i="8" a="1"/>
  <c r="FCO3" i="8" s="1"/>
  <c r="FDI3" i="8" a="1"/>
  <c r="FDI3" i="8" s="1"/>
  <c r="FDS3" i="8" a="1"/>
  <c r="FDS3" i="8" s="1"/>
  <c r="FEM3" i="8" a="1"/>
  <c r="FEM3" i="8" s="1"/>
  <c r="FEV3" i="8" a="1"/>
  <c r="FEV3" i="8" s="1"/>
  <c r="FFE3" i="8" a="1"/>
  <c r="FFE3" i="8" s="1"/>
  <c r="FFP3" i="8" a="1"/>
  <c r="FFP3" i="8" s="1"/>
  <c r="FFZ3" i="8" a="1"/>
  <c r="FFZ3" i="8" s="1"/>
  <c r="FGI3" i="8" a="1"/>
  <c r="FGI3" i="8" s="1"/>
  <c r="FGT3" i="8" a="1"/>
  <c r="FGT3" i="8" s="1"/>
  <c r="FHE3" i="8" a="1"/>
  <c r="FHE3" i="8" s="1"/>
  <c r="FHO3" i="8" a="1"/>
  <c r="FHO3" i="8" s="1"/>
  <c r="FII3" i="8" a="1"/>
  <c r="FII3" i="8" s="1"/>
  <c r="FIS3" i="8" a="1"/>
  <c r="FIS3" i="8" s="1"/>
  <c r="FJB3" i="8" a="1"/>
  <c r="FJB3" i="8" s="1"/>
  <c r="FJL3" i="8" a="1"/>
  <c r="FJL3" i="8" s="1"/>
  <c r="FJV3" i="8" a="1"/>
  <c r="FJV3" i="8" s="1"/>
  <c r="FKE3" i="8" a="1"/>
  <c r="FKE3" i="8" s="1"/>
  <c r="FKO3" i="8" a="1"/>
  <c r="FKO3" i="8" s="1"/>
  <c r="AAD3" i="8" a="1"/>
  <c r="AAD3" i="8" s="1"/>
  <c r="FZS3" i="8" a="1"/>
  <c r="FZS3" i="8" s="1"/>
  <c r="FZH3" i="8" a="1"/>
  <c r="FZH3" i="8" s="1"/>
  <c r="FYW3" i="8" a="1"/>
  <c r="FYW3" i="8" s="1"/>
  <c r="FYC3" i="8" a="1"/>
  <c r="FYC3" i="8" s="1"/>
  <c r="FXT3" i="8" a="1"/>
  <c r="FXT3" i="8" s="1"/>
  <c r="FXJ3" i="8" a="1"/>
  <c r="FXJ3" i="8" s="1"/>
  <c r="FWZ3" i="8" a="1"/>
  <c r="FWZ3" i="8" s="1"/>
  <c r="FWQ3" i="8" a="1"/>
  <c r="FWQ3" i="8" s="1"/>
  <c r="FWF3" i="8" a="1"/>
  <c r="FWF3" i="8" s="1"/>
  <c r="FVV3" i="8" a="1"/>
  <c r="FVV3" i="8" s="1"/>
  <c r="FVN3" i="8" a="1"/>
  <c r="FVN3" i="8" s="1"/>
  <c r="FUS3" i="8" a="1"/>
  <c r="FUS3" i="8" s="1"/>
  <c r="FUJ3" i="8" a="1"/>
  <c r="FUJ3" i="8" s="1"/>
  <c r="FUA3" i="8" a="1"/>
  <c r="FUA3" i="8" s="1"/>
  <c r="FTQ3" i="8" a="1"/>
  <c r="FTQ3" i="8" s="1"/>
  <c r="FTH3" i="8" a="1"/>
  <c r="FTH3" i="8" s="1"/>
  <c r="FSW3" i="8" a="1"/>
  <c r="FSW3" i="8" s="1"/>
  <c r="FSN3" i="8" a="1"/>
  <c r="FSN3" i="8" s="1"/>
  <c r="FSE3" i="8" a="1"/>
  <c r="FSE3" i="8" s="1"/>
  <c r="FRT3" i="8" a="1"/>
  <c r="FRT3" i="8" s="1"/>
  <c r="FRJ3" i="8" a="1"/>
  <c r="FRJ3" i="8" s="1"/>
  <c r="FRA3" i="8" a="1"/>
  <c r="FRA3" i="8" s="1"/>
  <c r="FQQ3" i="8" a="1"/>
  <c r="FQQ3" i="8" s="1"/>
  <c r="FPM3" i="8" a="1"/>
  <c r="FPM3" i="8" s="1"/>
  <c r="FOQ3" i="8" a="1"/>
  <c r="FOQ3" i="8" s="1"/>
  <c r="FMX3" i="8" a="1"/>
  <c r="FMX3" i="8" s="1"/>
  <c r="FLR3" i="8" a="1"/>
  <c r="FLR3" i="8" s="1"/>
  <c r="AAP3" i="8" a="1"/>
  <c r="AAP3" i="8" s="1"/>
  <c r="AAO3" i="8" a="1"/>
  <c r="AAO3" i="8" s="1"/>
  <c r="AAC3" i="8" a="1"/>
  <c r="AAC3" i="8" s="1"/>
  <c r="FZR3" i="8" a="1"/>
  <c r="FZR3" i="8" s="1"/>
  <c r="FZG3" i="8" a="1"/>
  <c r="FZG3" i="8" s="1"/>
  <c r="FYL3" i="8" a="1"/>
  <c r="FYL3" i="8" s="1"/>
  <c r="FYB3" i="8" a="1"/>
  <c r="FYB3" i="8" s="1"/>
  <c r="FXS3" i="8" a="1"/>
  <c r="FXS3" i="8" s="1"/>
  <c r="FXI3" i="8" a="1"/>
  <c r="FXI3" i="8" s="1"/>
  <c r="FWP3" i="8" a="1"/>
  <c r="FWP3" i="8" s="1"/>
  <c r="FWE3" i="8" a="1"/>
  <c r="FWE3" i="8" s="1"/>
  <c r="FVU3" i="8" a="1"/>
  <c r="FVU3" i="8" s="1"/>
  <c r="FVM3" i="8" a="1"/>
  <c r="FVM3" i="8" s="1"/>
  <c r="FVC3" i="8" a="1"/>
  <c r="FVC3" i="8" s="1"/>
  <c r="FUI3" i="8" a="1"/>
  <c r="FUI3" i="8" s="1"/>
  <c r="FTZ3" i="8" a="1"/>
  <c r="FTZ3" i="8" s="1"/>
  <c r="FTP3" i="8" a="1"/>
  <c r="FTP3" i="8" s="1"/>
  <c r="FTG3" i="8" a="1"/>
  <c r="FTG3" i="8" s="1"/>
  <c r="FSM3" i="8" a="1"/>
  <c r="FSM3" i="8" s="1"/>
  <c r="FSD3" i="8" a="1"/>
  <c r="FSD3" i="8" s="1"/>
  <c r="FRI3" i="8" a="1"/>
  <c r="FRI3" i="8" s="1"/>
  <c r="FQZ3" i="8" a="1"/>
  <c r="FQZ3" i="8" s="1"/>
  <c r="FQA3" i="8" a="1"/>
  <c r="FQA3" i="8" s="1"/>
  <c r="FPK3" i="8" a="1"/>
  <c r="FPK3" i="8" s="1"/>
  <c r="FOO3" i="8" a="1"/>
  <c r="FOO3" i="8" s="1"/>
  <c r="FNU3" i="8" a="1"/>
  <c r="FNU3" i="8" s="1"/>
  <c r="FMU3" i="8" a="1"/>
  <c r="FMU3" i="8" s="1"/>
  <c r="FLN3" i="8" a="1"/>
  <c r="FLN3" i="8" s="1"/>
  <c r="J3" i="8" a="1"/>
  <c r="J3" i="8" s="1"/>
  <c r="AAN3" i="8" a="1"/>
  <c r="AAN3" i="8" s="1"/>
  <c r="AAB3" i="8" a="1"/>
  <c r="AAB3" i="8" s="1"/>
  <c r="FZQ3" i="8" a="1"/>
  <c r="FZQ3" i="8" s="1"/>
  <c r="FZF3" i="8" a="1"/>
  <c r="FZF3" i="8" s="1"/>
  <c r="FYV3" i="8" a="1"/>
  <c r="FYV3" i="8" s="1"/>
  <c r="FYK3" i="8" a="1"/>
  <c r="FYK3" i="8" s="1"/>
  <c r="FYA3" i="8" a="1"/>
  <c r="FYA3" i="8" s="1"/>
  <c r="FXR3" i="8" a="1"/>
  <c r="FXR3" i="8" s="1"/>
  <c r="FWY3" i="8" a="1"/>
  <c r="FWY3" i="8" s="1"/>
  <c r="FWO3" i="8" a="1"/>
  <c r="FWO3" i="8" s="1"/>
  <c r="FWD3" i="8" a="1"/>
  <c r="FWD3" i="8" s="1"/>
  <c r="FVL3" i="8" a="1"/>
  <c r="FVL3" i="8" s="1"/>
  <c r="FVB3" i="8" a="1"/>
  <c r="FVB3" i="8" s="1"/>
  <c r="FUR3" i="8" a="1"/>
  <c r="FUR3" i="8" s="1"/>
  <c r="FTO3" i="8" a="1"/>
  <c r="FTO3" i="8" s="1"/>
  <c r="FTF3" i="8" a="1"/>
  <c r="FTF3" i="8" s="1"/>
  <c r="FSV3" i="8" a="1"/>
  <c r="FSV3" i="8" s="1"/>
  <c r="FSL3" i="8" a="1"/>
  <c r="FSL3" i="8" s="1"/>
  <c r="FSC3" i="8" a="1"/>
  <c r="FSC3" i="8" s="1"/>
  <c r="FRS3" i="8" a="1"/>
  <c r="FRS3" i="8" s="1"/>
  <c r="FRH3" i="8" a="1"/>
  <c r="FRH3" i="8" s="1"/>
  <c r="FQY3" i="8" a="1"/>
  <c r="FQY3" i="8" s="1"/>
  <c r="FQP3" i="8" a="1"/>
  <c r="FQP3" i="8" s="1"/>
  <c r="FPZ3" i="8" a="1"/>
  <c r="FPZ3" i="8" s="1"/>
  <c r="FPH3" i="8" a="1"/>
  <c r="FPH3" i="8" s="1"/>
  <c r="FNR3" i="8" a="1"/>
  <c r="FNR3" i="8" s="1"/>
  <c r="FMT3" i="8" a="1"/>
  <c r="FMT3" i="8" s="1"/>
  <c r="FLI3" i="8" a="1"/>
  <c r="FLI3" i="8" s="1"/>
  <c r="AAM3" i="8" a="1"/>
  <c r="AAM3" i="8" s="1"/>
  <c r="AAA3" i="8" a="1"/>
  <c r="AAA3" i="8" s="1"/>
  <c r="FZP3" i="8" a="1"/>
  <c r="FZP3" i="8" s="1"/>
  <c r="FZE3" i="8" a="1"/>
  <c r="FZE3" i="8" s="1"/>
  <c r="FYU3" i="8" a="1"/>
  <c r="FYU3" i="8" s="1"/>
  <c r="FXZ3" i="8" a="1"/>
  <c r="FXZ3" i="8" s="1"/>
  <c r="FXQ3" i="8" a="1"/>
  <c r="FXQ3" i="8" s="1"/>
  <c r="FXH3" i="8" a="1"/>
  <c r="FXH3" i="8" s="1"/>
  <c r="FWX3" i="8" a="1"/>
  <c r="FWX3" i="8" s="1"/>
  <c r="FWN3" i="8" a="1"/>
  <c r="FWN3" i="8" s="1"/>
  <c r="FVT3" i="8" a="1"/>
  <c r="FVT3" i="8" s="1"/>
  <c r="FVK3" i="8" a="1"/>
  <c r="FVK3" i="8" s="1"/>
  <c r="FVA3" i="8" a="1"/>
  <c r="FVA3" i="8" s="1"/>
  <c r="FUQ3" i="8" a="1"/>
  <c r="FUQ3" i="8" s="1"/>
  <c r="FUH3" i="8" a="1"/>
  <c r="FUH3" i="8" s="1"/>
  <c r="FTY3" i="8" a="1"/>
  <c r="FTY3" i="8" s="1"/>
  <c r="FTE3" i="8" a="1"/>
  <c r="FTE3" i="8" s="1"/>
  <c r="FSU3" i="8" a="1"/>
  <c r="FSU3" i="8" s="1"/>
  <c r="FSK3" i="8" a="1"/>
  <c r="FSK3" i="8" s="1"/>
  <c r="FSB3" i="8" a="1"/>
  <c r="FSB3" i="8" s="1"/>
  <c r="FRR3" i="8" a="1"/>
  <c r="FRR3" i="8" s="1"/>
  <c r="FRG3" i="8" a="1"/>
  <c r="FRG3" i="8" s="1"/>
  <c r="FQN3" i="8" a="1"/>
  <c r="FQN3" i="8" s="1"/>
  <c r="FPY3" i="8" a="1"/>
  <c r="FPY3" i="8" s="1"/>
  <c r="FPE3" i="8" a="1"/>
  <c r="FPE3" i="8" s="1"/>
  <c r="FOK3" i="8" a="1"/>
  <c r="FOK3" i="8" s="1"/>
  <c r="FNP3" i="8" a="1"/>
  <c r="FNP3" i="8" s="1"/>
  <c r="FMR3" i="8" a="1"/>
  <c r="FMR3" i="8" s="1"/>
  <c r="FLE3" i="8" a="1"/>
  <c r="FLE3" i="8" s="1"/>
  <c r="FYT3" i="8" a="1"/>
  <c r="FYT3" i="8" s="1"/>
  <c r="FYJ3" i="8" a="1"/>
  <c r="FYJ3" i="8" s="1"/>
  <c r="FXP3" i="8" a="1"/>
  <c r="FXP3" i="8" s="1"/>
  <c r="FXG3" i="8" a="1"/>
  <c r="FXG3" i="8" s="1"/>
  <c r="FWW3" i="8" a="1"/>
  <c r="FWW3" i="8" s="1"/>
  <c r="FWM3" i="8" a="1"/>
  <c r="FWM3" i="8" s="1"/>
  <c r="FWC3" i="8" a="1"/>
  <c r="FWC3" i="8" s="1"/>
  <c r="FVS3" i="8" a="1"/>
  <c r="FVS3" i="8" s="1"/>
  <c r="FVJ3" i="8" a="1"/>
  <c r="FVJ3" i="8" s="1"/>
  <c r="FUZ3" i="8" a="1"/>
  <c r="FUZ3" i="8" s="1"/>
  <c r="FUG3" i="8" a="1"/>
  <c r="FUG3" i="8" s="1"/>
  <c r="FTX3" i="8" a="1"/>
  <c r="FTX3" i="8" s="1"/>
  <c r="FTN3" i="8" a="1"/>
  <c r="FTN3" i="8" s="1"/>
  <c r="FTD3" i="8" a="1"/>
  <c r="FTD3" i="8" s="1"/>
  <c r="FST3" i="8" a="1"/>
  <c r="FST3" i="8" s="1"/>
  <c r="FSA3" i="8" a="1"/>
  <c r="FSA3" i="8" s="1"/>
  <c r="FRQ3" i="8" a="1"/>
  <c r="FRQ3" i="8" s="1"/>
  <c r="FQX3" i="8" a="1"/>
  <c r="FQX3" i="8" s="1"/>
  <c r="FQL3" i="8" a="1"/>
  <c r="FQL3" i="8" s="1"/>
  <c r="FPX3" i="8" a="1"/>
  <c r="FPX3" i="8" s="1"/>
  <c r="FOJ3" i="8" a="1"/>
  <c r="FOJ3" i="8" s="1"/>
  <c r="FNN3" i="8" a="1"/>
  <c r="FNN3" i="8" s="1"/>
  <c r="FMO3" i="8" a="1"/>
  <c r="FMO3" i="8" s="1"/>
  <c r="FKY3" i="8" a="1"/>
  <c r="FKY3" i="8" s="1"/>
  <c r="FZO3" i="8" a="1"/>
  <c r="FZO3" i="8" s="1"/>
  <c r="AAK3" i="8" a="1"/>
  <c r="AAK3" i="8" s="1"/>
  <c r="FZY3" i="8" a="1"/>
  <c r="FZY3" i="8" s="1"/>
  <c r="FZN3" i="8" a="1"/>
  <c r="FZN3" i="8" s="1"/>
  <c r="FZC3" i="8" a="1"/>
  <c r="FZC3" i="8" s="1"/>
  <c r="FYS3" i="8" a="1"/>
  <c r="FYS3" i="8" s="1"/>
  <c r="FXY3" i="8" a="1"/>
  <c r="FXY3" i="8" s="1"/>
  <c r="FXO3" i="8" a="1"/>
  <c r="FXO3" i="8" s="1"/>
  <c r="FXF3" i="8" a="1"/>
  <c r="FXF3" i="8" s="1"/>
  <c r="FWV3" i="8" a="1"/>
  <c r="FWV3" i="8" s="1"/>
  <c r="FWL3" i="8" a="1"/>
  <c r="FWL3" i="8" s="1"/>
  <c r="FVI3" i="8" a="1"/>
  <c r="FVI3" i="8" s="1"/>
  <c r="FUP3" i="8" a="1"/>
  <c r="FUP3" i="8" s="1"/>
  <c r="FUF3" i="8" a="1"/>
  <c r="FUF3" i="8" s="1"/>
  <c r="FTW3" i="8" a="1"/>
  <c r="FTW3" i="8" s="1"/>
  <c r="FTC3" i="8" a="1"/>
  <c r="FTC3" i="8" s="1"/>
  <c r="FSS3" i="8" a="1"/>
  <c r="FSS3" i="8" s="1"/>
  <c r="FSJ3" i="8" a="1"/>
  <c r="FSJ3" i="8" s="1"/>
  <c r="FRZ3" i="8" a="1"/>
  <c r="FRZ3" i="8" s="1"/>
  <c r="FRP3" i="8" a="1"/>
  <c r="FRP3" i="8" s="1"/>
  <c r="FRF3" i="8" a="1"/>
  <c r="FRF3" i="8" s="1"/>
  <c r="FQW3" i="8" a="1"/>
  <c r="FQW3" i="8" s="1"/>
  <c r="FQK3" i="8" a="1"/>
  <c r="FQK3" i="8" s="1"/>
  <c r="FPW3" i="8" a="1"/>
  <c r="FPW3" i="8" s="1"/>
  <c r="FPD3" i="8" a="1"/>
  <c r="FPD3" i="8" s="1"/>
  <c r="FOI3" i="8" a="1"/>
  <c r="FOI3" i="8" s="1"/>
  <c r="FNM3" i="8" a="1"/>
  <c r="FNM3" i="8" s="1"/>
  <c r="FMK3" i="8" a="1"/>
  <c r="FMK3" i="8" s="1"/>
  <c r="FKT3" i="8" a="1"/>
  <c r="FKT3" i="8" s="1"/>
  <c r="AAW3" i="8" a="1"/>
  <c r="AAW3" i="8" s="1"/>
  <c r="AAV3" i="8" a="1"/>
  <c r="AAV3" i="8" s="1"/>
  <c r="AAJ3" i="8" a="1"/>
  <c r="AAJ3" i="8" s="1"/>
  <c r="FZX3" i="8" a="1"/>
  <c r="FZX3" i="8" s="1"/>
  <c r="FZM3" i="8" a="1"/>
  <c r="FZM3" i="8" s="1"/>
  <c r="FZB3" i="8" a="1"/>
  <c r="FZB3" i="8" s="1"/>
  <c r="FYR3" i="8" a="1"/>
  <c r="FYR3" i="8" s="1"/>
  <c r="FYI3" i="8" a="1"/>
  <c r="FYI3" i="8" s="1"/>
  <c r="FXX3" i="8" a="1"/>
  <c r="FXX3" i="8" s="1"/>
  <c r="FXN3" i="8" a="1"/>
  <c r="FXN3" i="8" s="1"/>
  <c r="FXE3" i="8" a="1"/>
  <c r="FXE3" i="8" s="1"/>
  <c r="FWK3" i="8" a="1"/>
  <c r="FWK3" i="8" s="1"/>
  <c r="FWB3" i="8" a="1"/>
  <c r="FWB3" i="8" s="1"/>
  <c r="FVR3" i="8" a="1"/>
  <c r="FVR3" i="8" s="1"/>
  <c r="FVH3" i="8" a="1"/>
  <c r="FVH3" i="8" s="1"/>
  <c r="FUY3" i="8" a="1"/>
  <c r="FUY3" i="8" s="1"/>
  <c r="FUO3" i="8" a="1"/>
  <c r="FUO3" i="8" s="1"/>
  <c r="FTV3" i="8" a="1"/>
  <c r="FTV3" i="8" s="1"/>
  <c r="FTM3" i="8" a="1"/>
  <c r="FTM3" i="8" s="1"/>
  <c r="FTB3" i="8" a="1"/>
  <c r="FTB3" i="8" s="1"/>
  <c r="FSI3" i="8" a="1"/>
  <c r="FSI3" i="8" s="1"/>
  <c r="FRY3" i="8" a="1"/>
  <c r="FRY3" i="8" s="1"/>
  <c r="FRO3" i="8" a="1"/>
  <c r="FRO3" i="8" s="1"/>
  <c r="FQV3" i="8" a="1"/>
  <c r="FQV3" i="8" s="1"/>
  <c r="FQJ3" i="8" a="1"/>
  <c r="FQJ3" i="8" s="1"/>
  <c r="FPU3" i="8" a="1"/>
  <c r="FPU3" i="8" s="1"/>
  <c r="FPB3" i="8" a="1"/>
  <c r="FPB3" i="8" s="1"/>
  <c r="FNK3" i="8" a="1"/>
  <c r="FNK3" i="8" s="1"/>
  <c r="FKK3" i="8" a="1"/>
  <c r="FKK3" i="8" s="1"/>
  <c r="AAL3" i="8" a="1"/>
  <c r="AAL3" i="8" s="1"/>
  <c r="AAU3" i="8" a="1"/>
  <c r="AAU3" i="8" s="1"/>
  <c r="AAI3" i="8" a="1"/>
  <c r="AAI3" i="8" s="1"/>
  <c r="FZW3" i="8" a="1"/>
  <c r="FZW3" i="8" s="1"/>
  <c r="FZL3" i="8" a="1"/>
  <c r="FZL3" i="8" s="1"/>
  <c r="FYQ3" i="8" a="1"/>
  <c r="FYQ3" i="8" s="1"/>
  <c r="FYH3" i="8" a="1"/>
  <c r="FYH3" i="8" s="1"/>
  <c r="FXW3" i="8" a="1"/>
  <c r="FXW3" i="8" s="1"/>
  <c r="FXM3" i="8" a="1"/>
  <c r="FXM3" i="8" s="1"/>
  <c r="FXD3" i="8" a="1"/>
  <c r="FXD3" i="8" s="1"/>
  <c r="FWU3" i="8" a="1"/>
  <c r="FWU3" i="8" s="1"/>
  <c r="FWJ3" i="8" a="1"/>
  <c r="FWJ3" i="8" s="1"/>
  <c r="FWA3" i="8" a="1"/>
  <c r="FWA3" i="8" s="1"/>
  <c r="FVG3" i="8" a="1"/>
  <c r="FVG3" i="8" s="1"/>
  <c r="FUX3" i="8" a="1"/>
  <c r="FUX3" i="8" s="1"/>
  <c r="FUN3" i="8" a="1"/>
  <c r="FUN3" i="8" s="1"/>
  <c r="FUE3" i="8" a="1"/>
  <c r="FUE3" i="8" s="1"/>
  <c r="FTL3" i="8" a="1"/>
  <c r="FTL3" i="8" s="1"/>
  <c r="FTA3" i="8" a="1"/>
  <c r="FTA3" i="8" s="1"/>
  <c r="FSR3" i="8" a="1"/>
  <c r="FSR3" i="8" s="1"/>
  <c r="FRX3" i="8" a="1"/>
  <c r="FRX3" i="8" s="1"/>
  <c r="FRN3" i="8" a="1"/>
  <c r="FRN3" i="8" s="1"/>
  <c r="FRE3" i="8" a="1"/>
  <c r="FRE3" i="8" s="1"/>
  <c r="FQU3" i="8" a="1"/>
  <c r="FQU3" i="8" s="1"/>
  <c r="FQI3" i="8" a="1"/>
  <c r="FQI3" i="8" s="1"/>
  <c r="FPR3" i="8" a="1"/>
  <c r="FPR3" i="8" s="1"/>
  <c r="FOZ3" i="8" a="1"/>
  <c r="FOZ3" i="8" s="1"/>
  <c r="FOF3" i="8" a="1"/>
  <c r="FOF3" i="8" s="1"/>
  <c r="FMG3" i="8" a="1"/>
  <c r="FMG3" i="8" s="1"/>
  <c r="ZZ3" i="8" a="1"/>
  <c r="ZZ3" i="8" s="1"/>
  <c r="AAT3" i="8" a="1"/>
  <c r="AAT3" i="8" s="1"/>
  <c r="AAH3" i="8" a="1"/>
  <c r="AAH3" i="8" s="1"/>
  <c r="FZV3" i="8" a="1"/>
  <c r="FZV3" i="8" s="1"/>
  <c r="FZK3" i="8" a="1"/>
  <c r="FZK3" i="8" s="1"/>
  <c r="FZA3" i="8" a="1"/>
  <c r="FZA3" i="8" s="1"/>
  <c r="FYP3" i="8" a="1"/>
  <c r="FYP3" i="8" s="1"/>
  <c r="FYG3" i="8" a="1"/>
  <c r="FYG3" i="8" s="1"/>
  <c r="FXC3" i="8" a="1"/>
  <c r="FXC3" i="8" s="1"/>
  <c r="FWI3" i="8" a="1"/>
  <c r="FWI3" i="8" s="1"/>
  <c r="FVZ3" i="8" a="1"/>
  <c r="FVZ3" i="8" s="1"/>
  <c r="FVQ3" i="8" a="1"/>
  <c r="FVQ3" i="8" s="1"/>
  <c r="FVF3" i="8" a="1"/>
  <c r="FVF3" i="8" s="1"/>
  <c r="FUW3" i="8" a="1"/>
  <c r="FUW3" i="8" s="1"/>
  <c r="FUM3" i="8" a="1"/>
  <c r="FUM3" i="8" s="1"/>
  <c r="FTU3" i="8" a="1"/>
  <c r="FTU3" i="8" s="1"/>
  <c r="FTK3" i="8" a="1"/>
  <c r="FTK3" i="8" s="1"/>
  <c r="FSQ3" i="8" a="1"/>
  <c r="FSQ3" i="8" s="1"/>
  <c r="FSH3" i="8" a="1"/>
  <c r="FSH3" i="8" s="1"/>
  <c r="FRM3" i="8" a="1"/>
  <c r="FRM3" i="8" s="1"/>
  <c r="FRD3" i="8" a="1"/>
  <c r="FRD3" i="8" s="1"/>
  <c r="FQT3" i="8" a="1"/>
  <c r="FQT3" i="8" s="1"/>
  <c r="FQH3" i="8" a="1"/>
  <c r="FQH3" i="8" s="1"/>
  <c r="FPP3" i="8" a="1"/>
  <c r="FPP3" i="8" s="1"/>
  <c r="FOX3" i="8" a="1"/>
  <c r="FOX3" i="8" s="1"/>
  <c r="FOD3" i="8" a="1"/>
  <c r="FOD3" i="8" s="1"/>
  <c r="FNG3" i="8" a="1"/>
  <c r="FNG3" i="8" s="1"/>
  <c r="FME3" i="8" a="1"/>
  <c r="FME3" i="8" s="1"/>
  <c r="FJQ3" i="8" a="1"/>
  <c r="FJQ3" i="8" s="1"/>
  <c r="AAS3" i="8" a="1"/>
  <c r="AAS3" i="8" s="1"/>
  <c r="AAG3" i="8" a="1"/>
  <c r="AAG3" i="8" s="1"/>
  <c r="FZU3" i="8" a="1"/>
  <c r="FZU3" i="8" s="1"/>
  <c r="FYZ3" i="8" a="1"/>
  <c r="FYZ3" i="8" s="1"/>
  <c r="FYO3" i="8" a="1"/>
  <c r="FYO3" i="8" s="1"/>
  <c r="FYF3" i="8" a="1"/>
  <c r="FYF3" i="8" s="1"/>
  <c r="FXV3" i="8" a="1"/>
  <c r="FXV3" i="8" s="1"/>
  <c r="FXL3" i="8" a="1"/>
  <c r="FXL3" i="8" s="1"/>
  <c r="FWT3" i="8" a="1"/>
  <c r="FWT3" i="8" s="1"/>
  <c r="FVY3" i="8" a="1"/>
  <c r="FVY3" i="8" s="1"/>
  <c r="FVP3" i="8" a="1"/>
  <c r="FVP3" i="8" s="1"/>
  <c r="FVE3" i="8" a="1"/>
  <c r="FVE3" i="8" s="1"/>
  <c r="FUV3" i="8" a="1"/>
  <c r="FUV3" i="8" s="1"/>
  <c r="FUD3" i="8" a="1"/>
  <c r="FUD3" i="8" s="1"/>
  <c r="FTT3" i="8" a="1"/>
  <c r="FTT3" i="8" s="1"/>
  <c r="FTJ3" i="8" a="1"/>
  <c r="FTJ3" i="8" s="1"/>
  <c r="FSZ3" i="8" a="1"/>
  <c r="FSZ3" i="8" s="1"/>
  <c r="FSP3" i="8" a="1"/>
  <c r="FSP3" i="8" s="1"/>
  <c r="FSG3" i="8" a="1"/>
  <c r="FSG3" i="8" s="1"/>
  <c r="FRW3" i="8" a="1"/>
  <c r="FRW3" i="8" s="1"/>
  <c r="FRL3" i="8" a="1"/>
  <c r="FRL3" i="8" s="1"/>
  <c r="FRC3" i="8" a="1"/>
  <c r="FRC3" i="8" s="1"/>
  <c r="FPO3" i="8" a="1"/>
  <c r="FPO3" i="8" s="1"/>
  <c r="FOU3" i="8" a="1"/>
  <c r="FOU3" i="8" s="1"/>
  <c r="FOA3" i="8" a="1"/>
  <c r="FOA3" i="8" s="1"/>
  <c r="FNE3" i="8" a="1"/>
  <c r="FNE3" i="8" s="1"/>
  <c r="FMA3" i="8" a="1"/>
  <c r="FMA3" i="8" s="1"/>
  <c r="FJI3" i="8" a="1"/>
  <c r="FJI3" i="8" s="1"/>
  <c r="GX3" i="8" a="1"/>
  <c r="GX3" i="8" s="1"/>
  <c r="AAR3" i="8" a="1"/>
  <c r="AAR3" i="8" s="1"/>
  <c r="AAF3" i="8" a="1"/>
  <c r="AAF3" i="8" s="1"/>
  <c r="FZT3" i="8" a="1"/>
  <c r="FZT3" i="8" s="1"/>
  <c r="FZJ3" i="8" a="1"/>
  <c r="FZJ3" i="8" s="1"/>
  <c r="FYY3" i="8" a="1"/>
  <c r="FYY3" i="8" s="1"/>
  <c r="FYN3" i="8" a="1"/>
  <c r="FYN3" i="8" s="1"/>
  <c r="FYE3" i="8" a="1"/>
  <c r="FYE3" i="8" s="1"/>
  <c r="FXU3" i="8" a="1"/>
  <c r="FXU3" i="8" s="1"/>
  <c r="FXK3" i="8" a="1"/>
  <c r="FXK3" i="8" s="1"/>
  <c r="FXB3" i="8" a="1"/>
  <c r="FXB3" i="8" s="1"/>
  <c r="FWS3" i="8" a="1"/>
  <c r="FWS3" i="8" s="1"/>
  <c r="FWH3" i="8" a="1"/>
  <c r="FWH3" i="8" s="1"/>
  <c r="FVX3" i="8" a="1"/>
  <c r="FVX3" i="8" s="1"/>
  <c r="FUU3" i="8" a="1"/>
  <c r="FUU3" i="8" s="1"/>
  <c r="FUL3" i="8" a="1"/>
  <c r="FUL3" i="8" s="1"/>
  <c r="FUC3" i="8" a="1"/>
  <c r="FUC3" i="8" s="1"/>
  <c r="FTS3" i="8" a="1"/>
  <c r="FTS3" i="8" s="1"/>
  <c r="FSY3" i="8" a="1"/>
  <c r="FSY3" i="8" s="1"/>
  <c r="FSO3" i="8" a="1"/>
  <c r="FSO3" i="8" s="1"/>
  <c r="FRV3" i="8" a="1"/>
  <c r="FRV3" i="8" s="1"/>
  <c r="FQS3" i="8" a="1"/>
  <c r="FQS3" i="8" s="1"/>
  <c r="FQF3" i="8" a="1"/>
  <c r="FQF3" i="8" s="1"/>
  <c r="FOT3" i="8" a="1"/>
  <c r="FOT3" i="8" s="1"/>
  <c r="FNY3" i="8" a="1"/>
  <c r="FNY3" i="8" s="1"/>
  <c r="FND3" i="8" a="1"/>
  <c r="FND3" i="8" s="1"/>
  <c r="FLW3" i="8" a="1"/>
  <c r="FLW3" i="8" s="1"/>
  <c r="DEI3" i="8" a="1"/>
  <c r="DEI3" i="8" s="1"/>
  <c r="DFW3" i="8" a="1"/>
  <c r="DFW3" i="8" s="1"/>
  <c r="DHB3" i="8" a="1"/>
  <c r="DHB3" i="8" s="1"/>
  <c r="DHX3" i="8" a="1"/>
  <c r="DHX3" i="8" s="1"/>
  <c r="DIX3" i="8" a="1"/>
  <c r="DIX3" i="8" s="1"/>
  <c r="DJP3" i="8" a="1"/>
  <c r="DJP3" i="8" s="1"/>
  <c r="DKG3" i="8" a="1"/>
  <c r="DKG3" i="8" s="1"/>
  <c r="DKV3" i="8" a="1"/>
  <c r="DKV3" i="8" s="1"/>
  <c r="DLF3" i="8" a="1"/>
  <c r="DLF3" i="8" s="1"/>
  <c r="DMV3" i="8" a="1"/>
  <c r="DMV3" i="8" s="1"/>
  <c r="DNE3" i="8" a="1"/>
  <c r="DNE3" i="8" s="1"/>
  <c r="DNO3" i="8" a="1"/>
  <c r="DNO3" i="8" s="1"/>
  <c r="DOI3" i="8" a="1"/>
  <c r="DOI3" i="8" s="1"/>
  <c r="DPA3" i="8" a="1"/>
  <c r="DPA3" i="8" s="1"/>
  <c r="DPI3" i="8" a="1"/>
  <c r="DPI3" i="8" s="1"/>
  <c r="DQA3" i="8" a="1"/>
  <c r="DQA3" i="8" s="1"/>
  <c r="DQK3" i="8" a="1"/>
  <c r="DQK3" i="8" s="1"/>
  <c r="DQV3" i="8" a="1"/>
  <c r="DQV3" i="8" s="1"/>
  <c r="DRF3" i="8" a="1"/>
  <c r="DRF3" i="8" s="1"/>
  <c r="DRO3" i="8" a="1"/>
  <c r="DRO3" i="8" s="1"/>
  <c r="DRX3" i="8" a="1"/>
  <c r="DRX3" i="8" s="1"/>
  <c r="DSG3" i="8" a="1"/>
  <c r="DSG3" i="8" s="1"/>
  <c r="DTM3" i="8" a="1"/>
  <c r="DTM3" i="8" s="1"/>
  <c r="DTU3" i="8" a="1"/>
  <c r="DTU3" i="8" s="1"/>
  <c r="DUP3" i="8" a="1"/>
  <c r="DUP3" i="8" s="1"/>
  <c r="DUY3" i="8" a="1"/>
  <c r="DUY3" i="8" s="1"/>
  <c r="DVH3" i="8" a="1"/>
  <c r="DVH3" i="8" s="1"/>
  <c r="DVR3" i="8" a="1"/>
  <c r="DVR3" i="8" s="1"/>
  <c r="DVZ3" i="8" a="1"/>
  <c r="DVZ3" i="8" s="1"/>
  <c r="DWJ3" i="8" a="1"/>
  <c r="DWJ3" i="8" s="1"/>
  <c r="DWT3" i="8" a="1"/>
  <c r="DWT3" i="8" s="1"/>
  <c r="DXC3" i="8" a="1"/>
  <c r="DXC3" i="8" s="1"/>
  <c r="DYE3" i="8" a="1"/>
  <c r="DYE3" i="8" s="1"/>
  <c r="DYN3" i="8" a="1"/>
  <c r="DYN3" i="8" s="1"/>
  <c r="DYY3" i="8" a="1"/>
  <c r="DYY3" i="8" s="1"/>
  <c r="DZG3" i="8" a="1"/>
  <c r="DZG3" i="8" s="1"/>
  <c r="DZQ3" i="8" a="1"/>
  <c r="DZQ3" i="8" s="1"/>
  <c r="EAA3" i="8" a="1"/>
  <c r="EAA3" i="8" s="1"/>
  <c r="EAK3" i="8" a="1"/>
  <c r="EAK3" i="8" s="1"/>
  <c r="EAT3" i="8" a="1"/>
  <c r="EAT3" i="8" s="1"/>
  <c r="EBB3" i="8" a="1"/>
  <c r="EBB3" i="8" s="1"/>
  <c r="EBK3" i="8" a="1"/>
  <c r="EBK3" i="8" s="1"/>
  <c r="EBU3" i="8" a="1"/>
  <c r="EBU3" i="8" s="1"/>
  <c r="ECD3" i="8" a="1"/>
  <c r="ECD3" i="8" s="1"/>
  <c r="ECM3" i="8" a="1"/>
  <c r="ECM3" i="8" s="1"/>
  <c r="ECW3" i="8" a="1"/>
  <c r="ECW3" i="8" s="1"/>
  <c r="EDF3" i="8" a="1"/>
  <c r="EDF3" i="8" s="1"/>
  <c r="EDO3" i="8" a="1"/>
  <c r="EDO3" i="8" s="1"/>
  <c r="EEI3" i="8" a="1"/>
  <c r="EEI3" i="8" s="1"/>
  <c r="EEQ3" i="8" a="1"/>
  <c r="EEQ3" i="8" s="1"/>
  <c r="EFB3" i="8" a="1"/>
  <c r="EFB3" i="8" s="1"/>
  <c r="EFK3" i="8" a="1"/>
  <c r="EFK3" i="8" s="1"/>
  <c r="DEP3" i="8" a="1"/>
  <c r="DEP3" i="8" s="1"/>
  <c r="DFX3" i="8" a="1"/>
  <c r="DFX3" i="8" s="1"/>
  <c r="DIB3" i="8" a="1"/>
  <c r="DIB3" i="8" s="1"/>
  <c r="DIY3" i="8" a="1"/>
  <c r="DIY3" i="8" s="1"/>
  <c r="DJQ3" i="8" a="1"/>
  <c r="DJQ3" i="8" s="1"/>
  <c r="DKH3" i="8" a="1"/>
  <c r="DKH3" i="8" s="1"/>
  <c r="DLH3" i="8" a="1"/>
  <c r="DLH3" i="8" s="1"/>
  <c r="DLS3" i="8" a="1"/>
  <c r="DLS3" i="8" s="1"/>
  <c r="DME3" i="8" a="1"/>
  <c r="DME3" i="8" s="1"/>
  <c r="DML3" i="8" a="1"/>
  <c r="DML3" i="8" s="1"/>
  <c r="DNF3" i="8" a="1"/>
  <c r="DNF3" i="8" s="1"/>
  <c r="DNP3" i="8" a="1"/>
  <c r="DNP3" i="8" s="1"/>
  <c r="DNZ3" i="8" a="1"/>
  <c r="DNZ3" i="8" s="1"/>
  <c r="DOJ3" i="8" a="1"/>
  <c r="DOJ3" i="8" s="1"/>
  <c r="DOS3" i="8" a="1"/>
  <c r="DOS3" i="8" s="1"/>
  <c r="DPB3" i="8" a="1"/>
  <c r="DPB3" i="8" s="1"/>
  <c r="DPR3" i="8" a="1"/>
  <c r="DPR3" i="8" s="1"/>
  <c r="DQB3" i="8" a="1"/>
  <c r="DQB3" i="8" s="1"/>
  <c r="DQL3" i="8" a="1"/>
  <c r="DQL3" i="8" s="1"/>
  <c r="DQW3" i="8" a="1"/>
  <c r="DQW3" i="8" s="1"/>
  <c r="DRP3" i="8" a="1"/>
  <c r="DRP3" i="8" s="1"/>
  <c r="DSH3" i="8" a="1"/>
  <c r="DSH3" i="8" s="1"/>
  <c r="DSS3" i="8" a="1"/>
  <c r="DSS3" i="8" s="1"/>
  <c r="DTC3" i="8" a="1"/>
  <c r="DTC3" i="8" s="1"/>
  <c r="DTV3" i="8" a="1"/>
  <c r="DTV3" i="8" s="1"/>
  <c r="DUF3" i="8" a="1"/>
  <c r="DUF3" i="8" s="1"/>
  <c r="DUQ3" i="8" a="1"/>
  <c r="DUQ3" i="8" s="1"/>
  <c r="DVS3" i="8" a="1"/>
  <c r="DVS3" i="8" s="1"/>
  <c r="DWA3" i="8" a="1"/>
  <c r="DWA3" i="8" s="1"/>
  <c r="DWK3" i="8" a="1"/>
  <c r="DWK3" i="8" s="1"/>
  <c r="DXD3" i="8" a="1"/>
  <c r="DXD3" i="8" s="1"/>
  <c r="DXL3" i="8" a="1"/>
  <c r="DXL3" i="8" s="1"/>
  <c r="DXU3" i="8" a="1"/>
  <c r="DXU3" i="8" s="1"/>
  <c r="DYF3" i="8" a="1"/>
  <c r="DYF3" i="8" s="1"/>
  <c r="DYO3" i="8" a="1"/>
  <c r="DYO3" i="8" s="1"/>
  <c r="DYZ3" i="8" a="1"/>
  <c r="DYZ3" i="8" s="1"/>
  <c r="DZH3" i="8" a="1"/>
  <c r="DZH3" i="8" s="1"/>
  <c r="DZR3" i="8" a="1"/>
  <c r="DZR3" i="8" s="1"/>
  <c r="EAB3" i="8" a="1"/>
  <c r="EAB3" i="8" s="1"/>
  <c r="EAU3" i="8" a="1"/>
  <c r="EAU3" i="8" s="1"/>
  <c r="EBC3" i="8" a="1"/>
  <c r="EBC3" i="8" s="1"/>
  <c r="ECE3" i="8" a="1"/>
  <c r="ECE3" i="8" s="1"/>
  <c r="ECN3" i="8" a="1"/>
  <c r="ECN3" i="8" s="1"/>
  <c r="ECX3" i="8" a="1"/>
  <c r="ECX3" i="8" s="1"/>
  <c r="EDG3" i="8" a="1"/>
  <c r="EDG3" i="8" s="1"/>
  <c r="EDP3" i="8" a="1"/>
  <c r="EDP3" i="8" s="1"/>
  <c r="EDZ3" i="8" a="1"/>
  <c r="EDZ3" i="8" s="1"/>
  <c r="EEJ3" i="8" a="1"/>
  <c r="EEJ3" i="8" s="1"/>
  <c r="EFL3" i="8" a="1"/>
  <c r="EFL3" i="8" s="1"/>
  <c r="EFV3" i="8" a="1"/>
  <c r="EFV3" i="8" s="1"/>
  <c r="EGP3" i="8" a="1"/>
  <c r="EGP3" i="8" s="1"/>
  <c r="EGZ3" i="8" a="1"/>
  <c r="EGZ3" i="8" s="1"/>
  <c r="EHK3" i="8" a="1"/>
  <c r="EHK3" i="8" s="1"/>
  <c r="EHU3" i="8" a="1"/>
  <c r="EHU3" i="8" s="1"/>
  <c r="EIE3" i="8" a="1"/>
  <c r="EIE3" i="8" s="1"/>
  <c r="EIQ3" i="8" a="1"/>
  <c r="EIQ3" i="8" s="1"/>
  <c r="EJB3" i="8" a="1"/>
  <c r="EJB3" i="8" s="1"/>
  <c r="EJL3" i="8" a="1"/>
  <c r="EJL3" i="8" s="1"/>
  <c r="EJV3" i="8" a="1"/>
  <c r="EJV3" i="8" s="1"/>
  <c r="EKF3" i="8" a="1"/>
  <c r="EKF3" i="8" s="1"/>
  <c r="ELB3" i="8" a="1"/>
  <c r="ELB3" i="8" s="1"/>
  <c r="ELM3" i="8" a="1"/>
  <c r="ELM3" i="8" s="1"/>
  <c r="ELW3" i="8" a="1"/>
  <c r="ELW3" i="8" s="1"/>
  <c r="EMG3" i="8" a="1"/>
  <c r="EMG3" i="8" s="1"/>
  <c r="DES3" i="8" a="1"/>
  <c r="DES3" i="8" s="1"/>
  <c r="DFZ3" i="8" a="1"/>
  <c r="DFZ3" i="8" s="1"/>
  <c r="DHE3" i="8" a="1"/>
  <c r="DHE3" i="8" s="1"/>
  <c r="DIC3" i="8" a="1"/>
  <c r="DIC3" i="8" s="1"/>
  <c r="DJA3" i="8" a="1"/>
  <c r="DJA3" i="8" s="1"/>
  <c r="DJS3" i="8" a="1"/>
  <c r="DJS3" i="8" s="1"/>
  <c r="DKI3" i="8" a="1"/>
  <c r="DKI3" i="8" s="1"/>
  <c r="DKW3" i="8" a="1"/>
  <c r="DKW3" i="8" s="1"/>
  <c r="DLI3" i="8" a="1"/>
  <c r="DLI3" i="8" s="1"/>
  <c r="DMM3" i="8" a="1"/>
  <c r="DMM3" i="8" s="1"/>
  <c r="DMW3" i="8" a="1"/>
  <c r="DMW3" i="8" s="1"/>
  <c r="DNG3" i="8" a="1"/>
  <c r="DNG3" i="8" s="1"/>
  <c r="DNQ3" i="8" a="1"/>
  <c r="DNQ3" i="8" s="1"/>
  <c r="DOA3" i="8" a="1"/>
  <c r="DOA3" i="8" s="1"/>
  <c r="DOK3" i="8" a="1"/>
  <c r="DOK3" i="8" s="1"/>
  <c r="DOT3" i="8" a="1"/>
  <c r="DOT3" i="8" s="1"/>
  <c r="DPC3" i="8" a="1"/>
  <c r="DPC3" i="8" s="1"/>
  <c r="DPJ3" i="8" a="1"/>
  <c r="DPJ3" i="8" s="1"/>
  <c r="DQC3" i="8" a="1"/>
  <c r="DQC3" i="8" s="1"/>
  <c r="DQM3" i="8" a="1"/>
  <c r="DQM3" i="8" s="1"/>
  <c r="DQX3" i="8" a="1"/>
  <c r="DQX3" i="8" s="1"/>
  <c r="DRG3" i="8" a="1"/>
  <c r="DRG3" i="8" s="1"/>
  <c r="DRQ3" i="8" a="1"/>
  <c r="DRQ3" i="8" s="1"/>
  <c r="DRY3" i="8" a="1"/>
  <c r="DRY3" i="8" s="1"/>
  <c r="DSI3" i="8" a="1"/>
  <c r="DSI3" i="8" s="1"/>
  <c r="DST3" i="8" a="1"/>
  <c r="DST3" i="8" s="1"/>
  <c r="DTD3" i="8" a="1"/>
  <c r="DTD3" i="8" s="1"/>
  <c r="DTN3" i="8" a="1"/>
  <c r="DTN3" i="8" s="1"/>
  <c r="DTW3" i="8" a="1"/>
  <c r="DTW3" i="8" s="1"/>
  <c r="DUG3" i="8" a="1"/>
  <c r="DUG3" i="8" s="1"/>
  <c r="DUZ3" i="8" a="1"/>
  <c r="DUZ3" i="8" s="1"/>
  <c r="DVI3" i="8" a="1"/>
  <c r="DVI3" i="8" s="1"/>
  <c r="DVT3" i="8" a="1"/>
  <c r="DVT3" i="8" s="1"/>
  <c r="DWB3" i="8" a="1"/>
  <c r="DWB3" i="8" s="1"/>
  <c r="DWL3" i="8" a="1"/>
  <c r="DWL3" i="8" s="1"/>
  <c r="DWU3" i="8" a="1"/>
  <c r="DWU3" i="8" s="1"/>
  <c r="DXV3" i="8" a="1"/>
  <c r="DXV3" i="8" s="1"/>
  <c r="DYP3" i="8" a="1"/>
  <c r="DYP3" i="8" s="1"/>
  <c r="DZI3" i="8" a="1"/>
  <c r="DZI3" i="8" s="1"/>
  <c r="EAL3" i="8" a="1"/>
  <c r="EAL3" i="8" s="1"/>
  <c r="EAV3" i="8" a="1"/>
  <c r="EAV3" i="8" s="1"/>
  <c r="EBD3" i="8" a="1"/>
  <c r="EBD3" i="8" s="1"/>
  <c r="EBL3" i="8" a="1"/>
  <c r="EBL3" i="8" s="1"/>
  <c r="EBV3" i="8" a="1"/>
  <c r="EBV3" i="8" s="1"/>
  <c r="ECF3" i="8" a="1"/>
  <c r="ECF3" i="8" s="1"/>
  <c r="ECO3" i="8" a="1"/>
  <c r="ECO3" i="8" s="1"/>
  <c r="ECY3" i="8" a="1"/>
  <c r="ECY3" i="8" s="1"/>
  <c r="EDQ3" i="8" a="1"/>
  <c r="EDQ3" i="8" s="1"/>
  <c r="EEK3" i="8" a="1"/>
  <c r="EEK3" i="8" s="1"/>
  <c r="EER3" i="8" a="1"/>
  <c r="EER3" i="8" s="1"/>
  <c r="EFC3" i="8" a="1"/>
  <c r="EFC3" i="8" s="1"/>
  <c r="EFW3" i="8" a="1"/>
  <c r="EFW3" i="8" s="1"/>
  <c r="EGG3" i="8" a="1"/>
  <c r="EGG3" i="8" s="1"/>
  <c r="EGQ3" i="8" a="1"/>
  <c r="EGQ3" i="8" s="1"/>
  <c r="EHA3" i="8" a="1"/>
  <c r="EHA3" i="8" s="1"/>
  <c r="EHV3" i="8" a="1"/>
  <c r="EHV3" i="8" s="1"/>
  <c r="EIF3" i="8" a="1"/>
  <c r="EIF3" i="8" s="1"/>
  <c r="EIR3" i="8" a="1"/>
  <c r="EIR3" i="8" s="1"/>
  <c r="EJC3" i="8" a="1"/>
  <c r="EJC3" i="8" s="1"/>
  <c r="EJM3" i="8" a="1"/>
  <c r="EJM3" i="8" s="1"/>
  <c r="EJW3" i="8" a="1"/>
  <c r="EJW3" i="8" s="1"/>
  <c r="EKG3" i="8" a="1"/>
  <c r="EKG3" i="8" s="1"/>
  <c r="EKR3" i="8" a="1"/>
  <c r="EKR3" i="8" s="1"/>
  <c r="ELC3" i="8" a="1"/>
  <c r="ELC3" i="8" s="1"/>
  <c r="DFA3" i="8" a="1"/>
  <c r="DFA3" i="8" s="1"/>
  <c r="DGF3" i="8" a="1"/>
  <c r="DGF3" i="8" s="1"/>
  <c r="DHH3" i="8" a="1"/>
  <c r="DHH3" i="8" s="1"/>
  <c r="DIE3" i="8" a="1"/>
  <c r="DIE3" i="8" s="1"/>
  <c r="DJB3" i="8" a="1"/>
  <c r="DJB3" i="8" s="1"/>
  <c r="DJT3" i="8" a="1"/>
  <c r="DJT3" i="8" s="1"/>
  <c r="DKX3" i="8" a="1"/>
  <c r="DKX3" i="8" s="1"/>
  <c r="DLJ3" i="8" a="1"/>
  <c r="DLJ3" i="8" s="1"/>
  <c r="DLU3" i="8" a="1"/>
  <c r="DLU3" i="8" s="1"/>
  <c r="DMF3" i="8" a="1"/>
  <c r="DMF3" i="8" s="1"/>
  <c r="DMN3" i="8" a="1"/>
  <c r="DMN3" i="8" s="1"/>
  <c r="DMX3" i="8" a="1"/>
  <c r="DMX3" i="8" s="1"/>
  <c r="DNH3" i="8" a="1"/>
  <c r="DNH3" i="8" s="1"/>
  <c r="DNR3" i="8" a="1"/>
  <c r="DNR3" i="8" s="1"/>
  <c r="DOB3" i="8" a="1"/>
  <c r="DOB3" i="8" s="1"/>
  <c r="DOL3" i="8" a="1"/>
  <c r="DOL3" i="8" s="1"/>
  <c r="DOU3" i="8" a="1"/>
  <c r="DOU3" i="8" s="1"/>
  <c r="DPK3" i="8" a="1"/>
  <c r="DPK3" i="8" s="1"/>
  <c r="DPS3" i="8" a="1"/>
  <c r="DPS3" i="8" s="1"/>
  <c r="DQN3" i="8" a="1"/>
  <c r="DQN3" i="8" s="1"/>
  <c r="DRR3" i="8" a="1"/>
  <c r="DRR3" i="8" s="1"/>
  <c r="DRZ3" i="8" a="1"/>
  <c r="DRZ3" i="8" s="1"/>
  <c r="DSJ3" i="8" a="1"/>
  <c r="DSJ3" i="8" s="1"/>
  <c r="DSU3" i="8" a="1"/>
  <c r="DSU3" i="8" s="1"/>
  <c r="DTE3" i="8" a="1"/>
  <c r="DTE3" i="8" s="1"/>
  <c r="DTO3" i="8" a="1"/>
  <c r="DTO3" i="8" s="1"/>
  <c r="DTX3" i="8" a="1"/>
  <c r="DTX3" i="8" s="1"/>
  <c r="DUH3" i="8" a="1"/>
  <c r="DUH3" i="8" s="1"/>
  <c r="DUR3" i="8" a="1"/>
  <c r="DUR3" i="8" s="1"/>
  <c r="DVA3" i="8" a="1"/>
  <c r="DVA3" i="8" s="1"/>
  <c r="DWC3" i="8" a="1"/>
  <c r="DWC3" i="8" s="1"/>
  <c r="DXE3" i="8" a="1"/>
  <c r="DXE3" i="8" s="1"/>
  <c r="DXM3" i="8" a="1"/>
  <c r="DXM3" i="8" s="1"/>
  <c r="DXW3" i="8" a="1"/>
  <c r="DXW3" i="8" s="1"/>
  <c r="DYG3" i="8" a="1"/>
  <c r="DYG3" i="8" s="1"/>
  <c r="DYQ3" i="8" a="1"/>
  <c r="DYQ3" i="8" s="1"/>
  <c r="DZA3" i="8" a="1"/>
  <c r="DZA3" i="8" s="1"/>
  <c r="DZJ3" i="8" a="1"/>
  <c r="DZJ3" i="8" s="1"/>
  <c r="DZS3" i="8" a="1"/>
  <c r="DZS3" i="8" s="1"/>
  <c r="EAC3" i="8" a="1"/>
  <c r="EAC3" i="8" s="1"/>
  <c r="EAM3" i="8" a="1"/>
  <c r="EAM3" i="8" s="1"/>
  <c r="EBE3" i="8" a="1"/>
  <c r="EBE3" i="8" s="1"/>
  <c r="EBM3" i="8" a="1"/>
  <c r="EBM3" i="8" s="1"/>
  <c r="EBW3" i="8" a="1"/>
  <c r="EBW3" i="8" s="1"/>
  <c r="ECG3" i="8" a="1"/>
  <c r="ECG3" i="8" s="1"/>
  <c r="ECP3" i="8" a="1"/>
  <c r="ECP3" i="8" s="1"/>
  <c r="EDH3" i="8" a="1"/>
  <c r="EDH3" i="8" s="1"/>
  <c r="EEA3" i="8" a="1"/>
  <c r="EEA3" i="8" s="1"/>
  <c r="EEL3" i="8" a="1"/>
  <c r="EEL3" i="8" s="1"/>
  <c r="EES3" i="8" a="1"/>
  <c r="EES3" i="8" s="1"/>
  <c r="EFD3" i="8" a="1"/>
  <c r="EFD3" i="8" s="1"/>
  <c r="EFM3" i="8" a="1"/>
  <c r="EFM3" i="8" s="1"/>
  <c r="EFX3" i="8" a="1"/>
  <c r="EFX3" i="8" s="1"/>
  <c r="EGH3" i="8" a="1"/>
  <c r="EGH3" i="8" s="1"/>
  <c r="EGR3" i="8" a="1"/>
  <c r="EGR3" i="8" s="1"/>
  <c r="EHB3" i="8" a="1"/>
  <c r="EHB3" i="8" s="1"/>
  <c r="EHL3" i="8" a="1"/>
  <c r="EHL3" i="8" s="1"/>
  <c r="EHW3" i="8" a="1"/>
  <c r="EHW3" i="8" s="1"/>
  <c r="EIG3" i="8" a="1"/>
  <c r="EIG3" i="8" s="1"/>
  <c r="EJD3" i="8" a="1"/>
  <c r="EJD3" i="8" s="1"/>
  <c r="EJX3" i="8" a="1"/>
  <c r="EJX3" i="8" s="1"/>
  <c r="EKH3" i="8" a="1"/>
  <c r="EKH3" i="8" s="1"/>
  <c r="DFC3" i="8" a="1"/>
  <c r="DFC3" i="8" s="1"/>
  <c r="DGH3" i="8" a="1"/>
  <c r="DGH3" i="8" s="1"/>
  <c r="DHI3" i="8" a="1"/>
  <c r="DHI3" i="8" s="1"/>
  <c r="DIF3" i="8" a="1"/>
  <c r="DIF3" i="8" s="1"/>
  <c r="DJE3" i="8" a="1"/>
  <c r="DJE3" i="8" s="1"/>
  <c r="DKK3" i="8" a="1"/>
  <c r="DKK3" i="8" s="1"/>
  <c r="DLK3" i="8" a="1"/>
  <c r="DLK3" i="8" s="1"/>
  <c r="DLV3" i="8" a="1"/>
  <c r="DLV3" i="8" s="1"/>
  <c r="DNI3" i="8" a="1"/>
  <c r="DNI3" i="8" s="1"/>
  <c r="DNS3" i="8" a="1"/>
  <c r="DNS3" i="8" s="1"/>
  <c r="DOC3" i="8" a="1"/>
  <c r="DOC3" i="8" s="1"/>
  <c r="DOM3" i="8" a="1"/>
  <c r="DOM3" i="8" s="1"/>
  <c r="DOV3" i="8" a="1"/>
  <c r="DOV3" i="8" s="1"/>
  <c r="DPD3" i="8" a="1"/>
  <c r="DPD3" i="8" s="1"/>
  <c r="DPT3" i="8" a="1"/>
  <c r="DPT3" i="8" s="1"/>
  <c r="DQD3" i="8" a="1"/>
  <c r="DQD3" i="8" s="1"/>
  <c r="DQO3" i="8" a="1"/>
  <c r="DQO3" i="8" s="1"/>
  <c r="DQY3" i="8" a="1"/>
  <c r="DQY3" i="8" s="1"/>
  <c r="DRH3" i="8" a="1"/>
  <c r="DRH3" i="8" s="1"/>
  <c r="DRS3" i="8" a="1"/>
  <c r="DRS3" i="8" s="1"/>
  <c r="DSA3" i="8" a="1"/>
  <c r="DSA3" i="8" s="1"/>
  <c r="DSK3" i="8" a="1"/>
  <c r="DSK3" i="8" s="1"/>
  <c r="DSV3" i="8" a="1"/>
  <c r="DSV3" i="8" s="1"/>
  <c r="DTF3" i="8" a="1"/>
  <c r="DTF3" i="8" s="1"/>
  <c r="DTY3" i="8" a="1"/>
  <c r="DTY3" i="8" s="1"/>
  <c r="DUI3" i="8" a="1"/>
  <c r="DUI3" i="8" s="1"/>
  <c r="DUS3" i="8" a="1"/>
  <c r="DUS3" i="8" s="1"/>
  <c r="DVB3" i="8" a="1"/>
  <c r="DVB3" i="8" s="1"/>
  <c r="DVJ3" i="8" a="1"/>
  <c r="DVJ3" i="8" s="1"/>
  <c r="DVU3" i="8" a="1"/>
  <c r="DVU3" i="8" s="1"/>
  <c r="DWD3" i="8" a="1"/>
  <c r="DWD3" i="8" s="1"/>
  <c r="DWM3" i="8" a="1"/>
  <c r="DWM3" i="8" s="1"/>
  <c r="DWV3" i="8" a="1"/>
  <c r="DWV3" i="8" s="1"/>
  <c r="DXF3" i="8" a="1"/>
  <c r="DXF3" i="8" s="1"/>
  <c r="DXN3" i="8" a="1"/>
  <c r="DXN3" i="8" s="1"/>
  <c r="DXX3" i="8" a="1"/>
  <c r="DXX3" i="8" s="1"/>
  <c r="DYH3" i="8" a="1"/>
  <c r="DYH3" i="8" s="1"/>
  <c r="DZK3" i="8" a="1"/>
  <c r="DZK3" i="8" s="1"/>
  <c r="DZT3" i="8" a="1"/>
  <c r="DZT3" i="8" s="1"/>
  <c r="EAD3" i="8" a="1"/>
  <c r="EAD3" i="8" s="1"/>
  <c r="EAN3" i="8" a="1"/>
  <c r="EAN3" i="8" s="1"/>
  <c r="EAW3" i="8" a="1"/>
  <c r="EAW3" i="8" s="1"/>
  <c r="EBN3" i="8" a="1"/>
  <c r="EBN3" i="8" s="1"/>
  <c r="EBX3" i="8" a="1"/>
  <c r="EBX3" i="8" s="1"/>
  <c r="ECH3" i="8" a="1"/>
  <c r="ECH3" i="8" s="1"/>
  <c r="ECQ3" i="8" a="1"/>
  <c r="ECQ3" i="8" s="1"/>
  <c r="ECZ3" i="8" a="1"/>
  <c r="ECZ3" i="8" s="1"/>
  <c r="EDR3" i="8" a="1"/>
  <c r="EDR3" i="8" s="1"/>
  <c r="EEB3" i="8" a="1"/>
  <c r="EEB3" i="8" s="1"/>
  <c r="EET3" i="8" a="1"/>
  <c r="EET3" i="8" s="1"/>
  <c r="EFE3" i="8" a="1"/>
  <c r="EFE3" i="8" s="1"/>
  <c r="DFD3" i="8" a="1"/>
  <c r="DFD3" i="8" s="1"/>
  <c r="DHK3" i="8" a="1"/>
  <c r="DHK3" i="8" s="1"/>
  <c r="DJG3" i="8" a="1"/>
  <c r="DJG3" i="8" s="1"/>
  <c r="DJV3" i="8" a="1"/>
  <c r="DJV3" i="8" s="1"/>
  <c r="DKZ3" i="8" a="1"/>
  <c r="DKZ3" i="8" s="1"/>
  <c r="DLW3" i="8" a="1"/>
  <c r="DLW3" i="8" s="1"/>
  <c r="DMG3" i="8" a="1"/>
  <c r="DMG3" i="8" s="1"/>
  <c r="DMO3" i="8" a="1"/>
  <c r="DMO3" i="8" s="1"/>
  <c r="DMY3" i="8" a="1"/>
  <c r="DMY3" i="8" s="1"/>
  <c r="DNT3" i="8" a="1"/>
  <c r="DNT3" i="8" s="1"/>
  <c r="DOD3" i="8" a="1"/>
  <c r="DOD3" i="8" s="1"/>
  <c r="DON3" i="8" a="1"/>
  <c r="DON3" i="8" s="1"/>
  <c r="DPL3" i="8" a="1"/>
  <c r="DPL3" i="8" s="1"/>
  <c r="DPU3" i="8" a="1"/>
  <c r="DPU3" i="8" s="1"/>
  <c r="DQE3" i="8" a="1"/>
  <c r="DQE3" i="8" s="1"/>
  <c r="DQP3" i="8" a="1"/>
  <c r="DQP3" i="8" s="1"/>
  <c r="DQZ3" i="8" a="1"/>
  <c r="DQZ3" i="8" s="1"/>
  <c r="DSB3" i="8" a="1"/>
  <c r="DSB3" i="8" s="1"/>
  <c r="DSL3" i="8" a="1"/>
  <c r="DSL3" i="8" s="1"/>
  <c r="DSW3" i="8" a="1"/>
  <c r="DSW3" i="8" s="1"/>
  <c r="DTG3" i="8" a="1"/>
  <c r="DTG3" i="8" s="1"/>
  <c r="DTP3" i="8" a="1"/>
  <c r="DTP3" i="8" s="1"/>
  <c r="DTZ3" i="8" a="1"/>
  <c r="DTZ3" i="8" s="1"/>
  <c r="DUJ3" i="8" a="1"/>
  <c r="DUJ3" i="8" s="1"/>
  <c r="DUT3" i="8" a="1"/>
  <c r="DUT3" i="8" s="1"/>
  <c r="DVC3" i="8" a="1"/>
  <c r="DVC3" i="8" s="1"/>
  <c r="DVK3" i="8" a="1"/>
  <c r="DVK3" i="8" s="1"/>
  <c r="DWN3" i="8" a="1"/>
  <c r="DWN3" i="8" s="1"/>
  <c r="DXO3" i="8" a="1"/>
  <c r="DXO3" i="8" s="1"/>
  <c r="DXY3" i="8" a="1"/>
  <c r="DXY3" i="8" s="1"/>
  <c r="DYI3" i="8" a="1"/>
  <c r="DYI3" i="8" s="1"/>
  <c r="DYR3" i="8" a="1"/>
  <c r="DYR3" i="8" s="1"/>
  <c r="DZB3" i="8" a="1"/>
  <c r="DZB3" i="8" s="1"/>
  <c r="DZL3" i="8" a="1"/>
  <c r="DZL3" i="8" s="1"/>
  <c r="DZU3" i="8" a="1"/>
  <c r="DZU3" i="8" s="1"/>
  <c r="EAE3" i="8" a="1"/>
  <c r="EAE3" i="8" s="1"/>
  <c r="EBF3" i="8" a="1"/>
  <c r="EBF3" i="8" s="1"/>
  <c r="EBO3" i="8" a="1"/>
  <c r="EBO3" i="8" s="1"/>
  <c r="ECR3" i="8" a="1"/>
  <c r="ECR3" i="8" s="1"/>
  <c r="EDI3" i="8" a="1"/>
  <c r="EDI3" i="8" s="1"/>
  <c r="EDS3" i="8" a="1"/>
  <c r="EDS3" i="8" s="1"/>
  <c r="EEC3" i="8" a="1"/>
  <c r="EEC3" i="8" s="1"/>
  <c r="EEM3" i="8" a="1"/>
  <c r="EEM3" i="8" s="1"/>
  <c r="EEU3" i="8" a="1"/>
  <c r="EEU3" i="8" s="1"/>
  <c r="EFF3" i="8" a="1"/>
  <c r="EFF3" i="8" s="1"/>
  <c r="EFY3" i="8" a="1"/>
  <c r="EFY3" i="8" s="1"/>
  <c r="EGJ3" i="8" a="1"/>
  <c r="EGJ3" i="8" s="1"/>
  <c r="EGT3" i="8" a="1"/>
  <c r="EGT3" i="8" s="1"/>
  <c r="EHC3" i="8" a="1"/>
  <c r="EHC3" i="8" s="1"/>
  <c r="EHN3" i="8" a="1"/>
  <c r="EHN3" i="8" s="1"/>
  <c r="EHX3" i="8" a="1"/>
  <c r="EHX3" i="8" s="1"/>
  <c r="EII3" i="8" a="1"/>
  <c r="EII3" i="8" s="1"/>
  <c r="EIT3" i="8" a="1"/>
  <c r="EIT3" i="8" s="1"/>
  <c r="EJF3" i="8" a="1"/>
  <c r="EJF3" i="8" s="1"/>
  <c r="EKJ3" i="8" a="1"/>
  <c r="EKJ3" i="8" s="1"/>
  <c r="EKU3" i="8" a="1"/>
  <c r="EKU3" i="8" s="1"/>
  <c r="ELF3" i="8" a="1"/>
  <c r="ELF3" i="8" s="1"/>
  <c r="ELP3" i="8" a="1"/>
  <c r="ELP3" i="8" s="1"/>
  <c r="EMA3" i="8" a="1"/>
  <c r="EMA3" i="8" s="1"/>
  <c r="EMT3" i="8" a="1"/>
  <c r="EMT3" i="8" s="1"/>
  <c r="ENE3" i="8" a="1"/>
  <c r="ENE3" i="8" s="1"/>
  <c r="ENP3" i="8" a="1"/>
  <c r="ENP3" i="8" s="1"/>
  <c r="DFG3" i="8" a="1"/>
  <c r="DFG3" i="8" s="1"/>
  <c r="DGK3" i="8" a="1"/>
  <c r="DGK3" i="8" s="1"/>
  <c r="DIM3" i="8" a="1"/>
  <c r="DIM3" i="8" s="1"/>
  <c r="DJH3" i="8" a="1"/>
  <c r="DJH3" i="8" s="1"/>
  <c r="DJY3" i="8" a="1"/>
  <c r="DJY3" i="8" s="1"/>
  <c r="DKM3" i="8" a="1"/>
  <c r="DKM3" i="8" s="1"/>
  <c r="DLM3" i="8" a="1"/>
  <c r="DLM3" i="8" s="1"/>
  <c r="DMH3" i="8" a="1"/>
  <c r="DMH3" i="8" s="1"/>
  <c r="DMP3" i="8" a="1"/>
  <c r="DMP3" i="8" s="1"/>
  <c r="DMZ3" i="8" a="1"/>
  <c r="DMZ3" i="8" s="1"/>
  <c r="DNJ3" i="8" a="1"/>
  <c r="DNJ3" i="8" s="1"/>
  <c r="DNU3" i="8" a="1"/>
  <c r="DNU3" i="8" s="1"/>
  <c r="DOW3" i="8" a="1"/>
  <c r="DOW3" i="8" s="1"/>
  <c r="DPE3" i="8" a="1"/>
  <c r="DPE3" i="8" s="1"/>
  <c r="DPM3" i="8" a="1"/>
  <c r="DPM3" i="8" s="1"/>
  <c r="DPV3" i="8" a="1"/>
  <c r="DPV3" i="8" s="1"/>
  <c r="DQF3" i="8" a="1"/>
  <c r="DQF3" i="8" s="1"/>
  <c r="DRA3" i="8" a="1"/>
  <c r="DRA3" i="8" s="1"/>
  <c r="DRI3" i="8" a="1"/>
  <c r="DRI3" i="8" s="1"/>
  <c r="DRT3" i="8" a="1"/>
  <c r="DRT3" i="8" s="1"/>
  <c r="DSC3" i="8" a="1"/>
  <c r="DSC3" i="8" s="1"/>
  <c r="DSM3" i="8" a="1"/>
  <c r="DSM3" i="8" s="1"/>
  <c r="DTH3" i="8" a="1"/>
  <c r="DTH3" i="8" s="1"/>
  <c r="DUA3" i="8" a="1"/>
  <c r="DUA3" i="8" s="1"/>
  <c r="DUU3" i="8" a="1"/>
  <c r="DUU3" i="8" s="1"/>
  <c r="DVD3" i="8" a="1"/>
  <c r="DVD3" i="8" s="1"/>
  <c r="DVL3" i="8" a="1"/>
  <c r="DVL3" i="8" s="1"/>
  <c r="DVV3" i="8" a="1"/>
  <c r="DVV3" i="8" s="1"/>
  <c r="DWE3" i="8" a="1"/>
  <c r="DWE3" i="8" s="1"/>
  <c r="DWO3" i="8" a="1"/>
  <c r="DWO3" i="8" s="1"/>
  <c r="DWW3" i="8" a="1"/>
  <c r="DWW3" i="8" s="1"/>
  <c r="DXG3" i="8" a="1"/>
  <c r="DXG3" i="8" s="1"/>
  <c r="DXP3" i="8" a="1"/>
  <c r="DXP3" i="8" s="1"/>
  <c r="DXZ3" i="8" a="1"/>
  <c r="DXZ3" i="8" s="1"/>
  <c r="DYJ3" i="8" a="1"/>
  <c r="DYJ3" i="8" s="1"/>
  <c r="DYS3" i="8" a="1"/>
  <c r="DYS3" i="8" s="1"/>
  <c r="DZM3" i="8" a="1"/>
  <c r="DZM3" i="8" s="1"/>
  <c r="DZV3" i="8" a="1"/>
  <c r="DZV3" i="8" s="1"/>
  <c r="EAF3" i="8" a="1"/>
  <c r="EAF3" i="8" s="1"/>
  <c r="EAO3" i="8" a="1"/>
  <c r="EAO3" i="8" s="1"/>
  <c r="EAX3" i="8" a="1"/>
  <c r="EAX3" i="8" s="1"/>
  <c r="EBG3" i="8" a="1"/>
  <c r="EBG3" i="8" s="1"/>
  <c r="EBP3" i="8" a="1"/>
  <c r="EBP3" i="8" s="1"/>
  <c r="EBY3" i="8" a="1"/>
  <c r="EBY3" i="8" s="1"/>
  <c r="ECI3" i="8" a="1"/>
  <c r="ECI3" i="8" s="1"/>
  <c r="ECS3" i="8" a="1"/>
  <c r="ECS3" i="8" s="1"/>
  <c r="EDA3" i="8" a="1"/>
  <c r="EDA3" i="8" s="1"/>
  <c r="EDJ3" i="8" a="1"/>
  <c r="EDJ3" i="8" s="1"/>
  <c r="EDT3" i="8" a="1"/>
  <c r="EDT3" i="8" s="1"/>
  <c r="DGQ3" i="8" a="1"/>
  <c r="DGQ3" i="8" s="1"/>
  <c r="DHN3" i="8" a="1"/>
  <c r="DHN3" i="8" s="1"/>
  <c r="DIN3" i="8" a="1"/>
  <c r="DIN3" i="8" s="1"/>
  <c r="DJJ3" i="8" a="1"/>
  <c r="DJJ3" i="8" s="1"/>
  <c r="DJZ3" i="8" a="1"/>
  <c r="DJZ3" i="8" s="1"/>
  <c r="DKO3" i="8" a="1"/>
  <c r="DKO3" i="8" s="1"/>
  <c r="DLB3" i="8" a="1"/>
  <c r="DLB3" i="8" s="1"/>
  <c r="DLN3" i="8" a="1"/>
  <c r="DLN3" i="8" s="1"/>
  <c r="DLY3" i="8" a="1"/>
  <c r="DLY3" i="8" s="1"/>
  <c r="DMI3" i="8" a="1"/>
  <c r="DMI3" i="8" s="1"/>
  <c r="DMQ3" i="8" a="1"/>
  <c r="DMQ3" i="8" s="1"/>
  <c r="DNA3" i="8" a="1"/>
  <c r="DNA3" i="8" s="1"/>
  <c r="DNV3" i="8" a="1"/>
  <c r="DNV3" i="8" s="1"/>
  <c r="DOE3" i="8" a="1"/>
  <c r="DOE3" i="8" s="1"/>
  <c r="DOO3" i="8" a="1"/>
  <c r="DOO3" i="8" s="1"/>
  <c r="DOX3" i="8" a="1"/>
  <c r="DOX3" i="8" s="1"/>
  <c r="DPN3" i="8" a="1"/>
  <c r="DPN3" i="8" s="1"/>
  <c r="DPW3" i="8" a="1"/>
  <c r="DPW3" i="8" s="1"/>
  <c r="DQG3" i="8" a="1"/>
  <c r="DQG3" i="8" s="1"/>
  <c r="DQQ3" i="8" a="1"/>
  <c r="DQQ3" i="8" s="1"/>
  <c r="DRB3" i="8" a="1"/>
  <c r="DRB3" i="8" s="1"/>
  <c r="DRJ3" i="8" a="1"/>
  <c r="DRJ3" i="8" s="1"/>
  <c r="DSD3" i="8" a="1"/>
  <c r="DSD3" i="8" s="1"/>
  <c r="DSN3" i="8" a="1"/>
  <c r="DSN3" i="8" s="1"/>
  <c r="DSX3" i="8" a="1"/>
  <c r="DSX3" i="8" s="1"/>
  <c r="DTI3" i="8" a="1"/>
  <c r="DTI3" i="8" s="1"/>
  <c r="DTQ3" i="8" a="1"/>
  <c r="DTQ3" i="8" s="1"/>
  <c r="DUK3" i="8" a="1"/>
  <c r="DUK3" i="8" s="1"/>
  <c r="DUV3" i="8" a="1"/>
  <c r="DUV3" i="8" s="1"/>
  <c r="DVM3" i="8" a="1"/>
  <c r="DVM3" i="8" s="1"/>
  <c r="DWF3" i="8" a="1"/>
  <c r="DWF3" i="8" s="1"/>
  <c r="DWP3" i="8" a="1"/>
  <c r="DWP3" i="8" s="1"/>
  <c r="DWX3" i="8" a="1"/>
  <c r="DWX3" i="8" s="1"/>
  <c r="DXH3" i="8" a="1"/>
  <c r="DXH3" i="8" s="1"/>
  <c r="DXQ3" i="8" a="1"/>
  <c r="DXQ3" i="8" s="1"/>
  <c r="DYA3" i="8" a="1"/>
  <c r="DYA3" i="8" s="1"/>
  <c r="DYK3" i="8" a="1"/>
  <c r="DYK3" i="8" s="1"/>
  <c r="DYT3" i="8" a="1"/>
  <c r="DYT3" i="8" s="1"/>
  <c r="DZC3" i="8" a="1"/>
  <c r="DZC3" i="8" s="1"/>
  <c r="DZW3" i="8" a="1"/>
  <c r="DZW3" i="8" s="1"/>
  <c r="EAP3" i="8" a="1"/>
  <c r="EAP3" i="8" s="1"/>
  <c r="EBH3" i="8" a="1"/>
  <c r="EBH3" i="8" s="1"/>
  <c r="EBQ3" i="8" a="1"/>
  <c r="EBQ3" i="8" s="1"/>
  <c r="EBZ3" i="8" a="1"/>
  <c r="EBZ3" i="8" s="1"/>
  <c r="ECT3" i="8" a="1"/>
  <c r="ECT3" i="8" s="1"/>
  <c r="EDB3" i="8" a="1"/>
  <c r="EDB3" i="8" s="1"/>
  <c r="EDK3" i="8" a="1"/>
  <c r="EDK3" i="8" s="1"/>
  <c r="EDU3" i="8" a="1"/>
  <c r="EDU3" i="8" s="1"/>
  <c r="EED3" i="8" a="1"/>
  <c r="EED3" i="8" s="1"/>
  <c r="EEW3" i="8" a="1"/>
  <c r="EEW3" i="8" s="1"/>
  <c r="EFG3" i="8" a="1"/>
  <c r="EFG3" i="8" s="1"/>
  <c r="EFP3" i="8" a="1"/>
  <c r="EFP3" i="8" s="1"/>
  <c r="EGA3" i="8" a="1"/>
  <c r="EGA3" i="8" s="1"/>
  <c r="EGK3" i="8" a="1"/>
  <c r="EGK3" i="8" s="1"/>
  <c r="EGU3" i="8" a="1"/>
  <c r="EGU3" i="8" s="1"/>
  <c r="EHE3" i="8" a="1"/>
  <c r="EHE3" i="8" s="1"/>
  <c r="EHO3" i="8" a="1"/>
  <c r="EHO3" i="8" s="1"/>
  <c r="EHZ3" i="8" a="1"/>
  <c r="EHZ3" i="8" s="1"/>
  <c r="EIK3" i="8" a="1"/>
  <c r="EIK3" i="8" s="1"/>
  <c r="EIV3" i="8" a="1"/>
  <c r="EIV3" i="8" s="1"/>
  <c r="EJG3" i="8" a="1"/>
  <c r="EJG3" i="8" s="1"/>
  <c r="EJP3" i="8" a="1"/>
  <c r="EJP3" i="8" s="1"/>
  <c r="DGS3" i="8" a="1"/>
  <c r="DGS3" i="8" s="1"/>
  <c r="DIP3" i="8" a="1"/>
  <c r="DIP3" i="8" s="1"/>
  <c r="DJK3" i="8" a="1"/>
  <c r="DJK3" i="8" s="1"/>
  <c r="DKA3" i="8" a="1"/>
  <c r="DKA3" i="8" s="1"/>
  <c r="DKP3" i="8" a="1"/>
  <c r="DKP3" i="8" s="1"/>
  <c r="DLO3" i="8" a="1"/>
  <c r="DLO3" i="8" s="1"/>
  <c r="DLZ3" i="8" a="1"/>
  <c r="DLZ3" i="8" s="1"/>
  <c r="DMR3" i="8" a="1"/>
  <c r="DMR3" i="8" s="1"/>
  <c r="DNK3" i="8" a="1"/>
  <c r="DNK3" i="8" s="1"/>
  <c r="DOP3" i="8" a="1"/>
  <c r="DOP3" i="8" s="1"/>
  <c r="DPF3" i="8" a="1"/>
  <c r="DPF3" i="8" s="1"/>
  <c r="DPO3" i="8" a="1"/>
  <c r="DPO3" i="8" s="1"/>
  <c r="DPX3" i="8" a="1"/>
  <c r="DPX3" i="8" s="1"/>
  <c r="DQH3" i="8" a="1"/>
  <c r="DQH3" i="8" s="1"/>
  <c r="DQR3" i="8" a="1"/>
  <c r="DQR3" i="8" s="1"/>
  <c r="DRC3" i="8" a="1"/>
  <c r="DRC3" i="8" s="1"/>
  <c r="DRK3" i="8" a="1"/>
  <c r="DRK3" i="8" s="1"/>
  <c r="DRU3" i="8" a="1"/>
  <c r="DRU3" i="8" s="1"/>
  <c r="DSE3" i="8" a="1"/>
  <c r="DSE3" i="8" s="1"/>
  <c r="DSO3" i="8" a="1"/>
  <c r="DSO3" i="8" s="1"/>
  <c r="DSY3" i="8" a="1"/>
  <c r="DSY3" i="8" s="1"/>
  <c r="DTJ3" i="8" a="1"/>
  <c r="DTJ3" i="8" s="1"/>
  <c r="DTR3" i="8" a="1"/>
  <c r="DTR3" i="8" s="1"/>
  <c r="DUB3" i="8" a="1"/>
  <c r="DUB3" i="8" s="1"/>
  <c r="DUL3" i="8" a="1"/>
  <c r="DUL3" i="8" s="1"/>
  <c r="DVE3" i="8" a="1"/>
  <c r="DVE3" i="8" s="1"/>
  <c r="DVN3" i="8" a="1"/>
  <c r="DVN3" i="8" s="1"/>
  <c r="DVW3" i="8" a="1"/>
  <c r="DVW3" i="8" s="1"/>
  <c r="DWQ3" i="8" a="1"/>
  <c r="DWQ3" i="8" s="1"/>
  <c r="DWY3" i="8" a="1"/>
  <c r="DWY3" i="8" s="1"/>
  <c r="DXR3" i="8" a="1"/>
  <c r="DXR3" i="8" s="1"/>
  <c r="DYB3" i="8" a="1"/>
  <c r="DYB3" i="8" s="1"/>
  <c r="DYU3" i="8" a="1"/>
  <c r="DYU3" i="8" s="1"/>
  <c r="DZD3" i="8" a="1"/>
  <c r="DZD3" i="8" s="1"/>
  <c r="DZN3" i="8" a="1"/>
  <c r="DZN3" i="8" s="1"/>
  <c r="DZX3" i="8" a="1"/>
  <c r="DZX3" i="8" s="1"/>
  <c r="EAG3" i="8" a="1"/>
  <c r="EAG3" i="8" s="1"/>
  <c r="EAQ3" i="8" a="1"/>
  <c r="EAQ3" i="8" s="1"/>
  <c r="EAY3" i="8" a="1"/>
  <c r="EAY3" i="8" s="1"/>
  <c r="EBI3" i="8" a="1"/>
  <c r="EBI3" i="8" s="1"/>
  <c r="EBR3" i="8" a="1"/>
  <c r="EBR3" i="8" s="1"/>
  <c r="ECJ3" i="8" a="1"/>
  <c r="ECJ3" i="8" s="1"/>
  <c r="EDC3" i="8" a="1"/>
  <c r="EDC3" i="8" s="1"/>
  <c r="EDL3" i="8" a="1"/>
  <c r="EDL3" i="8" s="1"/>
  <c r="EDV3" i="8" a="1"/>
  <c r="EDV3" i="8" s="1"/>
  <c r="EEE3" i="8" a="1"/>
  <c r="EEE3" i="8" s="1"/>
  <c r="EEO3" i="8" a="1"/>
  <c r="EEO3" i="8" s="1"/>
  <c r="EEX3" i="8" a="1"/>
  <c r="EEX3" i="8" s="1"/>
  <c r="EFQ3" i="8" a="1"/>
  <c r="EFQ3" i="8" s="1"/>
  <c r="EGB3" i="8" a="1"/>
  <c r="EGB3" i="8" s="1"/>
  <c r="EGL3" i="8" a="1"/>
  <c r="EGL3" i="8" s="1"/>
  <c r="EGV3" i="8" a="1"/>
  <c r="EGV3" i="8" s="1"/>
  <c r="EHF3" i="8" a="1"/>
  <c r="EHF3" i="8" s="1"/>
  <c r="EHP3" i="8" a="1"/>
  <c r="EHP3" i="8" s="1"/>
  <c r="EIA3" i="8" a="1"/>
  <c r="EIA3" i="8" s="1"/>
  <c r="EIL3" i="8" a="1"/>
  <c r="EIL3" i="8" s="1"/>
  <c r="EIW3" i="8" a="1"/>
  <c r="EIW3" i="8" s="1"/>
  <c r="EJH3" i="8" a="1"/>
  <c r="EJH3" i="8" s="1"/>
  <c r="EJQ3" i="8" a="1"/>
  <c r="EJQ3" i="8" s="1"/>
  <c r="EKB3" i="8" a="1"/>
  <c r="EKB3" i="8" s="1"/>
  <c r="EKM3" i="8" a="1"/>
  <c r="EKM3" i="8" s="1"/>
  <c r="EKW3" i="8" a="1"/>
  <c r="EKW3" i="8" s="1"/>
  <c r="ELI3" i="8" a="1"/>
  <c r="ELI3" i="8" s="1"/>
  <c r="ELS3" i="8" a="1"/>
  <c r="ELS3" i="8" s="1"/>
  <c r="DFM3" i="8" a="1"/>
  <c r="DFM3" i="8" s="1"/>
  <c r="DGT3" i="8" a="1"/>
  <c r="DGT3" i="8" s="1"/>
  <c r="DHS3" i="8" a="1"/>
  <c r="DHS3" i="8" s="1"/>
  <c r="DIQ3" i="8" a="1"/>
  <c r="DIQ3" i="8" s="1"/>
  <c r="DKC3" i="8" a="1"/>
  <c r="DKC3" i="8" s="1"/>
  <c r="DKQ3" i="8" a="1"/>
  <c r="DKQ3" i="8" s="1"/>
  <c r="DLD3" i="8" a="1"/>
  <c r="DLD3" i="8" s="1"/>
  <c r="DMA3" i="8" a="1"/>
  <c r="DMA3" i="8" s="1"/>
  <c r="DMJ3" i="8" a="1"/>
  <c r="DMJ3" i="8" s="1"/>
  <c r="DMS3" i="8" a="1"/>
  <c r="DMS3" i="8" s="1"/>
  <c r="DNB3" i="8" a="1"/>
  <c r="DNB3" i="8" s="1"/>
  <c r="DNL3" i="8" a="1"/>
  <c r="DNL3" i="8" s="1"/>
  <c r="DNW3" i="8" a="1"/>
  <c r="DNW3" i="8" s="1"/>
  <c r="DOF3" i="8" a="1"/>
  <c r="DOF3" i="8" s="1"/>
  <c r="DOY3" i="8" a="1"/>
  <c r="DOY3" i="8" s="1"/>
  <c r="DPG3" i="8" a="1"/>
  <c r="DPG3" i="8" s="1"/>
  <c r="DPP3" i="8" a="1"/>
  <c r="DPP3" i="8" s="1"/>
  <c r="DQS3" i="8" a="1"/>
  <c r="DQS3" i="8" s="1"/>
  <c r="DRD3" i="8" a="1"/>
  <c r="DRD3" i="8" s="1"/>
  <c r="DRL3" i="8" a="1"/>
  <c r="DRL3" i="8" s="1"/>
  <c r="DRV3" i="8" a="1"/>
  <c r="DRV3" i="8" s="1"/>
  <c r="DSP3" i="8" a="1"/>
  <c r="DSP3" i="8" s="1"/>
  <c r="DSZ3" i="8" a="1"/>
  <c r="DSZ3" i="8" s="1"/>
  <c r="DTK3" i="8" a="1"/>
  <c r="DTK3" i="8" s="1"/>
  <c r="DUC3" i="8" a="1"/>
  <c r="DUC3" i="8" s="1"/>
  <c r="DUM3" i="8" a="1"/>
  <c r="DUM3" i="8" s="1"/>
  <c r="DUW3" i="8" a="1"/>
  <c r="DUW3" i="8" s="1"/>
  <c r="DVO3" i="8" a="1"/>
  <c r="DVO3" i="8" s="1"/>
  <c r="DWG3" i="8" a="1"/>
  <c r="DWG3" i="8" s="1"/>
  <c r="DWR3" i="8" a="1"/>
  <c r="DWR3" i="8" s="1"/>
  <c r="DWZ3" i="8" a="1"/>
  <c r="DWZ3" i="8" s="1"/>
  <c r="DXI3" i="8" a="1"/>
  <c r="DXI3" i="8" s="1"/>
  <c r="DXS3" i="8" a="1"/>
  <c r="DXS3" i="8" s="1"/>
  <c r="DYL3" i="8" a="1"/>
  <c r="DYL3" i="8" s="1"/>
  <c r="DYV3" i="8" a="1"/>
  <c r="DYV3" i="8" s="1"/>
  <c r="DZO3" i="8" a="1"/>
  <c r="DZO3" i="8" s="1"/>
  <c r="EAH3" i="8" a="1"/>
  <c r="EAH3" i="8" s="1"/>
  <c r="EAR3" i="8" a="1"/>
  <c r="EAR3" i="8" s="1"/>
  <c r="EAZ3" i="8" a="1"/>
  <c r="EAZ3" i="8" s="1"/>
  <c r="ECA3" i="8" a="1"/>
  <c r="ECA3" i="8" s="1"/>
  <c r="ECU3" i="8" a="1"/>
  <c r="ECU3" i="8" s="1"/>
  <c r="EDD3" i="8" a="1"/>
  <c r="EDD3" i="8" s="1"/>
  <c r="EDM3" i="8" a="1"/>
  <c r="EDM3" i="8" s="1"/>
  <c r="EDW3" i="8" a="1"/>
  <c r="EDW3" i="8" s="1"/>
  <c r="EEF3" i="8" a="1"/>
  <c r="EEF3" i="8" s="1"/>
  <c r="EEY3" i="8" a="1"/>
  <c r="EEY3" i="8" s="1"/>
  <c r="EFH3" i="8" a="1"/>
  <c r="EFH3" i="8" s="1"/>
  <c r="EFR3" i="8" a="1"/>
  <c r="EFR3" i="8" s="1"/>
  <c r="EGC3" i="8" a="1"/>
  <c r="EGC3" i="8" s="1"/>
  <c r="EGW3" i="8" a="1"/>
  <c r="EGW3" i="8" s="1"/>
  <c r="EHG3" i="8" a="1"/>
  <c r="EHG3" i="8" s="1"/>
  <c r="EHQ3" i="8" a="1"/>
  <c r="EHQ3" i="8" s="1"/>
  <c r="EIM3" i="8" a="1"/>
  <c r="EIM3" i="8" s="1"/>
  <c r="EIX3" i="8" a="1"/>
  <c r="EIX3" i="8" s="1"/>
  <c r="EJR3" i="8" a="1"/>
  <c r="EJR3" i="8" s="1"/>
  <c r="EKC3" i="8" a="1"/>
  <c r="EKC3" i="8" s="1"/>
  <c r="EKN3" i="8" a="1"/>
  <c r="EKN3" i="8" s="1"/>
  <c r="EKX3" i="8" a="1"/>
  <c r="EKX3" i="8" s="1"/>
  <c r="ELT3" i="8" a="1"/>
  <c r="ELT3" i="8" s="1"/>
  <c r="EMD3" i="8" a="1"/>
  <c r="EMD3" i="8" s="1"/>
  <c r="EML3" i="8" a="1"/>
  <c r="EML3" i="8" s="1"/>
  <c r="EMX3" i="8" a="1"/>
  <c r="EMX3" i="8" s="1"/>
  <c r="ENH3" i="8" a="1"/>
  <c r="ENH3" i="8" s="1"/>
  <c r="ENT3" i="8" a="1"/>
  <c r="ENT3" i="8" s="1"/>
  <c r="DFO3" i="8" a="1"/>
  <c r="DFO3" i="8" s="1"/>
  <c r="DGV3" i="8" a="1"/>
  <c r="DGV3" i="8" s="1"/>
  <c r="DHT3" i="8" a="1"/>
  <c r="DHT3" i="8" s="1"/>
  <c r="DIS3" i="8" a="1"/>
  <c r="DIS3" i="8" s="1"/>
  <c r="DJM3" i="8" a="1"/>
  <c r="DJM3" i="8" s="1"/>
  <c r="DKD3" i="8" a="1"/>
  <c r="DKD3" i="8" s="1"/>
  <c r="DKS3" i="8" a="1"/>
  <c r="DKS3" i="8" s="1"/>
  <c r="DLE3" i="8" a="1"/>
  <c r="DLE3" i="8" s="1"/>
  <c r="DMB3" i="8" a="1"/>
  <c r="DMB3" i="8" s="1"/>
  <c r="DMT3" i="8" a="1"/>
  <c r="DMT3" i="8" s="1"/>
  <c r="DNC3" i="8" a="1"/>
  <c r="DNC3" i="8" s="1"/>
  <c r="DNM3" i="8" a="1"/>
  <c r="DNM3" i="8" s="1"/>
  <c r="DNX3" i="8" a="1"/>
  <c r="DNX3" i="8" s="1"/>
  <c r="DOG3" i="8" a="1"/>
  <c r="DOG3" i="8" s="1"/>
  <c r="DOQ3" i="8" a="1"/>
  <c r="DOQ3" i="8" s="1"/>
  <c r="DOZ3" i="8" a="1"/>
  <c r="DOZ3" i="8" s="1"/>
  <c r="DPH3" i="8" a="1"/>
  <c r="DPH3" i="8" s="1"/>
  <c r="DPY3" i="8" a="1"/>
  <c r="DPY3" i="8" s="1"/>
  <c r="DQI3" i="8" a="1"/>
  <c r="DQI3" i="8" s="1"/>
  <c r="DQT3" i="8" a="1"/>
  <c r="DQT3" i="8" s="1"/>
  <c r="DRE3" i="8" a="1"/>
  <c r="DRE3" i="8" s="1"/>
  <c r="DRM3" i="8" a="1"/>
  <c r="DRM3" i="8" s="1"/>
  <c r="DRW3" i="8" a="1"/>
  <c r="DRW3" i="8" s="1"/>
  <c r="DSF3" i="8" a="1"/>
  <c r="DSF3" i="8" s="1"/>
  <c r="DSQ3" i="8" a="1"/>
  <c r="DSQ3" i="8" s="1"/>
  <c r="DTA3" i="8" a="1"/>
  <c r="DTA3" i="8" s="1"/>
  <c r="DTL3" i="8" a="1"/>
  <c r="DTL3" i="8" s="1"/>
  <c r="DTS3" i="8" a="1"/>
  <c r="DTS3" i="8" s="1"/>
  <c r="DUD3" i="8" a="1"/>
  <c r="DUD3" i="8" s="1"/>
  <c r="DUN3" i="8" a="1"/>
  <c r="DUN3" i="8" s="1"/>
  <c r="DVF3" i="8" a="1"/>
  <c r="DVF3" i="8" s="1"/>
  <c r="DVP3" i="8" a="1"/>
  <c r="DVP3" i="8" s="1"/>
  <c r="DVX3" i="8" a="1"/>
  <c r="DVX3" i="8" s="1"/>
  <c r="DWH3" i="8" a="1"/>
  <c r="DWH3" i="8" s="1"/>
  <c r="DWS3" i="8" a="1"/>
  <c r="DWS3" i="8" s="1"/>
  <c r="DXA3" i="8" a="1"/>
  <c r="DXA3" i="8" s="1"/>
  <c r="DXJ3" i="8" a="1"/>
  <c r="DXJ3" i="8" s="1"/>
  <c r="DYC3" i="8" a="1"/>
  <c r="DYC3" i="8" s="1"/>
  <c r="DYW3" i="8" a="1"/>
  <c r="DYW3" i="8" s="1"/>
  <c r="DZE3" i="8" a="1"/>
  <c r="DZE3" i="8" s="1"/>
  <c r="DZP3" i="8" a="1"/>
  <c r="DZP3" i="8" s="1"/>
  <c r="DZY3" i="8" a="1"/>
  <c r="DZY3" i="8" s="1"/>
  <c r="EAI3" i="8" a="1"/>
  <c r="EAI3" i="8" s="1"/>
  <c r="EAS3" i="8" a="1"/>
  <c r="EAS3" i="8" s="1"/>
  <c r="EBJ3" i="8" a="1"/>
  <c r="EBJ3" i="8" s="1"/>
  <c r="EBS3" i="8" a="1"/>
  <c r="EBS3" i="8" s="1"/>
  <c r="ECB3" i="8" a="1"/>
  <c r="ECB3" i="8" s="1"/>
  <c r="ECK3" i="8" a="1"/>
  <c r="ECK3" i="8" s="1"/>
  <c r="EDE3" i="8" a="1"/>
  <c r="EDE3" i="8" s="1"/>
  <c r="EDX3" i="8" a="1"/>
  <c r="EDX3" i="8" s="1"/>
  <c r="EEG3" i="8" a="1"/>
  <c r="EEG3" i="8" s="1"/>
  <c r="EEP3" i="8" a="1"/>
  <c r="EEP3" i="8" s="1"/>
  <c r="EEZ3" i="8" a="1"/>
  <c r="EEZ3" i="8" s="1"/>
  <c r="EFI3" i="8" a="1"/>
  <c r="EFI3" i="8" s="1"/>
  <c r="EFS3" i="8" a="1"/>
  <c r="EFS3" i="8" s="1"/>
  <c r="EGD3" i="8" a="1"/>
  <c r="EGD3" i="8" s="1"/>
  <c r="EGM3" i="8" a="1"/>
  <c r="EGM3" i="8" s="1"/>
  <c r="EGX3" i="8" a="1"/>
  <c r="EGX3" i="8" s="1"/>
  <c r="EHH3" i="8" a="1"/>
  <c r="EHH3" i="8" s="1"/>
  <c r="DFU3" i="8" a="1"/>
  <c r="DFU3" i="8" s="1"/>
  <c r="DHA3" i="8" a="1"/>
  <c r="DHA3" i="8" s="1"/>
  <c r="DHU3" i="8" a="1"/>
  <c r="DHU3" i="8" s="1"/>
  <c r="DIV3" i="8" a="1"/>
  <c r="DIV3" i="8" s="1"/>
  <c r="DJO3" i="8" a="1"/>
  <c r="DJO3" i="8" s="1"/>
  <c r="DKF3" i="8" a="1"/>
  <c r="DKF3" i="8" s="1"/>
  <c r="DKU3" i="8" a="1"/>
  <c r="DKU3" i="8" s="1"/>
  <c r="DLQ3" i="8" a="1"/>
  <c r="DLQ3" i="8" s="1"/>
  <c r="DMC3" i="8" a="1"/>
  <c r="DMC3" i="8" s="1"/>
  <c r="DMK3" i="8" a="1"/>
  <c r="DMK3" i="8" s="1"/>
  <c r="DMU3" i="8" a="1"/>
  <c r="DMU3" i="8" s="1"/>
  <c r="DND3" i="8" a="1"/>
  <c r="DND3" i="8" s="1"/>
  <c r="DNN3" i="8" a="1"/>
  <c r="DNN3" i="8" s="1"/>
  <c r="DNY3" i="8" a="1"/>
  <c r="DNY3" i="8" s="1"/>
  <c r="DOH3" i="8" a="1"/>
  <c r="DOH3" i="8" s="1"/>
  <c r="DOR3" i="8" a="1"/>
  <c r="DOR3" i="8" s="1"/>
  <c r="DPQ3" i="8" a="1"/>
  <c r="DPQ3" i="8" s="1"/>
  <c r="DPZ3" i="8" a="1"/>
  <c r="DPZ3" i="8" s="1"/>
  <c r="DQJ3" i="8" a="1"/>
  <c r="DQJ3" i="8" s="1"/>
  <c r="DQU3" i="8" a="1"/>
  <c r="DQU3" i="8" s="1"/>
  <c r="DRN3" i="8" a="1"/>
  <c r="DRN3" i="8" s="1"/>
  <c r="DSR3" i="8" a="1"/>
  <c r="DSR3" i="8" s="1"/>
  <c r="DTB3" i="8" a="1"/>
  <c r="DTB3" i="8" s="1"/>
  <c r="DTT3" i="8" a="1"/>
  <c r="DTT3" i="8" s="1"/>
  <c r="DUE3" i="8" a="1"/>
  <c r="DUE3" i="8" s="1"/>
  <c r="DUO3" i="8" a="1"/>
  <c r="DUO3" i="8" s="1"/>
  <c r="DUX3" i="8" a="1"/>
  <c r="DUX3" i="8" s="1"/>
  <c r="DVG3" i="8" a="1"/>
  <c r="DVG3" i="8" s="1"/>
  <c r="DVQ3" i="8" a="1"/>
  <c r="DVQ3" i="8" s="1"/>
  <c r="DVY3" i="8" a="1"/>
  <c r="DVY3" i="8" s="1"/>
  <c r="DWI3" i="8" a="1"/>
  <c r="DWI3" i="8" s="1"/>
  <c r="DXB3" i="8" a="1"/>
  <c r="DXB3" i="8" s="1"/>
  <c r="DXK3" i="8" a="1"/>
  <c r="DXK3" i="8" s="1"/>
  <c r="DXT3" i="8" a="1"/>
  <c r="DXT3" i="8" s="1"/>
  <c r="DYD3" i="8" a="1"/>
  <c r="DYD3" i="8" s="1"/>
  <c r="DYM3" i="8" a="1"/>
  <c r="DYM3" i="8" s="1"/>
  <c r="DYX3" i="8" a="1"/>
  <c r="DYX3" i="8" s="1"/>
  <c r="DZF3" i="8" a="1"/>
  <c r="DZF3" i="8" s="1"/>
  <c r="DZZ3" i="8" a="1"/>
  <c r="DZZ3" i="8" s="1"/>
  <c r="EAJ3" i="8" a="1"/>
  <c r="EAJ3" i="8" s="1"/>
  <c r="EBA3" i="8" a="1"/>
  <c r="EBA3" i="8" s="1"/>
  <c r="EBT3" i="8" a="1"/>
  <c r="EBT3" i="8" s="1"/>
  <c r="ECC3" i="8" a="1"/>
  <c r="ECC3" i="8" s="1"/>
  <c r="ECL3" i="8" a="1"/>
  <c r="ECL3" i="8" s="1"/>
  <c r="ECV3" i="8" a="1"/>
  <c r="ECV3" i="8" s="1"/>
  <c r="EDN3" i="8" a="1"/>
  <c r="EDN3" i="8" s="1"/>
  <c r="EDY3" i="8" a="1"/>
  <c r="EDY3" i="8" s="1"/>
  <c r="EEH3" i="8" a="1"/>
  <c r="EEH3" i="8" s="1"/>
  <c r="EFA3" i="8" a="1"/>
  <c r="EFA3" i="8" s="1"/>
  <c r="EFJ3" i="8" a="1"/>
  <c r="EFJ3" i="8" s="1"/>
  <c r="EFT3" i="8" a="1"/>
  <c r="EFT3" i="8" s="1"/>
  <c r="EGE3" i="8" a="1"/>
  <c r="EGE3" i="8" s="1"/>
  <c r="EGN3" i="8" a="1"/>
  <c r="EGN3" i="8" s="1"/>
  <c r="EHI3" i="8" a="1"/>
  <c r="EHI3" i="8" s="1"/>
  <c r="EHS3" i="8" a="1"/>
  <c r="EHS3" i="8" s="1"/>
  <c r="EIC3" i="8" a="1"/>
  <c r="EIC3" i="8" s="1"/>
  <c r="EIO3" i="8" a="1"/>
  <c r="EIO3" i="8" s="1"/>
  <c r="EIZ3" i="8" a="1"/>
  <c r="EIZ3" i="8" s="1"/>
  <c r="EJJ3" i="8" a="1"/>
  <c r="EJJ3" i="8" s="1"/>
  <c r="EJT3" i="8" a="1"/>
  <c r="EJT3" i="8" s="1"/>
  <c r="EKP3" i="8" a="1"/>
  <c r="EKP3" i="8" s="1"/>
  <c r="EKZ3" i="8" a="1"/>
  <c r="EKZ3" i="8" s="1"/>
  <c r="ELK3" i="8" a="1"/>
  <c r="ELK3" i="8" s="1"/>
  <c r="CEB3" i="8" a="1"/>
  <c r="CEB3" i="8" s="1"/>
  <c r="CGE3" i="8" a="1"/>
  <c r="CGE3" i="8" s="1"/>
  <c r="CGZ3" i="8" a="1"/>
  <c r="CGZ3" i="8" s="1"/>
  <c r="CHK3" i="8" a="1"/>
  <c r="CHK3" i="8" s="1"/>
  <c r="CHX3" i="8" a="1"/>
  <c r="CHX3" i="8" s="1"/>
  <c r="CIJ3" i="8" a="1"/>
  <c r="CIJ3" i="8" s="1"/>
  <c r="CIT3" i="8" a="1"/>
  <c r="CIT3" i="8" s="1"/>
  <c r="CJN3" i="8" a="1"/>
  <c r="CJN3" i="8" s="1"/>
  <c r="CJX3" i="8" a="1"/>
  <c r="CJX3" i="8" s="1"/>
  <c r="CKH3" i="8" a="1"/>
  <c r="CKH3" i="8" s="1"/>
  <c r="CKQ3" i="8" a="1"/>
  <c r="CKQ3" i="8" s="1"/>
  <c r="CKY3" i="8" a="1"/>
  <c r="CKY3" i="8" s="1"/>
  <c r="CLH3" i="8" a="1"/>
  <c r="CLH3" i="8" s="1"/>
  <c r="CLQ3" i="8" a="1"/>
  <c r="CLQ3" i="8" s="1"/>
  <c r="CLZ3" i="8" a="1"/>
  <c r="CLZ3" i="8" s="1"/>
  <c r="CMI3" i="8" a="1"/>
  <c r="CMI3" i="8" s="1"/>
  <c r="CMR3" i="8" a="1"/>
  <c r="CMR3" i="8" s="1"/>
  <c r="CNB3" i="8" a="1"/>
  <c r="CNB3" i="8" s="1"/>
  <c r="CNK3" i="8" a="1"/>
  <c r="CNK3" i="8" s="1"/>
  <c r="CNT3" i="8" a="1"/>
  <c r="CNT3" i="8" s="1"/>
  <c r="COD3" i="8" a="1"/>
  <c r="COD3" i="8" s="1"/>
  <c r="CON3" i="8" a="1"/>
  <c r="CON3" i="8" s="1"/>
  <c r="CPX3" i="8" a="1"/>
  <c r="CPX3" i="8" s="1"/>
  <c r="CQG3" i="8" a="1"/>
  <c r="CQG3" i="8" s="1"/>
  <c r="CQQ3" i="8" a="1"/>
  <c r="CQQ3" i="8" s="1"/>
  <c r="CQZ3" i="8" a="1"/>
  <c r="CQZ3" i="8" s="1"/>
  <c r="CRJ3" i="8" a="1"/>
  <c r="CRJ3" i="8" s="1"/>
  <c r="CSB3" i="8" a="1"/>
  <c r="CSB3" i="8" s="1"/>
  <c r="CSK3" i="8" a="1"/>
  <c r="CSK3" i="8" s="1"/>
  <c r="CSU3" i="8" a="1"/>
  <c r="CSU3" i="8" s="1"/>
  <c r="CTE3" i="8" a="1"/>
  <c r="CTE3" i="8" s="1"/>
  <c r="CTN3" i="8" a="1"/>
  <c r="CTN3" i="8" s="1"/>
  <c r="CUG3" i="8" a="1"/>
  <c r="CUG3" i="8" s="1"/>
  <c r="CUQ3" i="8" a="1"/>
  <c r="CUQ3" i="8" s="1"/>
  <c r="CUZ3" i="8" a="1"/>
  <c r="CUZ3" i="8" s="1"/>
  <c r="CVJ3" i="8" a="1"/>
  <c r="CVJ3" i="8" s="1"/>
  <c r="CVS3" i="8" a="1"/>
  <c r="CVS3" i="8" s="1"/>
  <c r="CWB3" i="8" a="1"/>
  <c r="CWB3" i="8" s="1"/>
  <c r="CWU3" i="8" a="1"/>
  <c r="CWU3" i="8" s="1"/>
  <c r="CXE3" i="8" a="1"/>
  <c r="CXE3" i="8" s="1"/>
  <c r="CXO3" i="8" a="1"/>
  <c r="CXO3" i="8" s="1"/>
  <c r="CXY3" i="8" a="1"/>
  <c r="CXY3" i="8" s="1"/>
  <c r="CYI3" i="8" a="1"/>
  <c r="CYI3" i="8" s="1"/>
  <c r="CYS3" i="8" a="1"/>
  <c r="CYS3" i="8" s="1"/>
  <c r="CZB3" i="8" a="1"/>
  <c r="CZB3" i="8" s="1"/>
  <c r="CZU3" i="8" a="1"/>
  <c r="CZU3" i="8" s="1"/>
  <c r="DAD3" i="8" a="1"/>
  <c r="DAD3" i="8" s="1"/>
  <c r="DAN3" i="8" a="1"/>
  <c r="DAN3" i="8" s="1"/>
  <c r="DAV3" i="8" a="1"/>
  <c r="DAV3" i="8" s="1"/>
  <c r="DBF3" i="8" a="1"/>
  <c r="DBF3" i="8" s="1"/>
  <c r="DBO3" i="8" a="1"/>
  <c r="DBO3" i="8" s="1"/>
  <c r="DBZ3" i="8" a="1"/>
  <c r="DBZ3" i="8" s="1"/>
  <c r="DCT3" i="8" a="1"/>
  <c r="DCT3" i="8" s="1"/>
  <c r="DDD3" i="8" a="1"/>
  <c r="DDD3" i="8" s="1"/>
  <c r="DDN3" i="8" a="1"/>
  <c r="DDN3" i="8" s="1"/>
  <c r="DDY3" i="8" a="1"/>
  <c r="DDY3" i="8" s="1"/>
  <c r="CEJ3" i="8" a="1"/>
  <c r="CEJ3" i="8" s="1"/>
  <c r="CGG3" i="8" a="1"/>
  <c r="CGG3" i="8" s="1"/>
  <c r="CHB3" i="8" a="1"/>
  <c r="CHB3" i="8" s="1"/>
  <c r="CHL3" i="8" a="1"/>
  <c r="CHL3" i="8" s="1"/>
  <c r="CHY3" i="8" a="1"/>
  <c r="CHY3" i="8" s="1"/>
  <c r="CIU3" i="8" a="1"/>
  <c r="CIU3" i="8" s="1"/>
  <c r="CJE3" i="8" a="1"/>
  <c r="CJE3" i="8" s="1"/>
  <c r="CJO3" i="8" a="1"/>
  <c r="CJO3" i="8" s="1"/>
  <c r="CJY3" i="8" a="1"/>
  <c r="CJY3" i="8" s="1"/>
  <c r="CKI3" i="8" a="1"/>
  <c r="CKI3" i="8" s="1"/>
  <c r="CKZ3" i="8" a="1"/>
  <c r="CKZ3" i="8" s="1"/>
  <c r="CLI3" i="8" a="1"/>
  <c r="CLI3" i="8" s="1"/>
  <c r="CLR3" i="8" a="1"/>
  <c r="CLR3" i="8" s="1"/>
  <c r="CMA3" i="8" a="1"/>
  <c r="CMA3" i="8" s="1"/>
  <c r="CMJ3" i="8" a="1"/>
  <c r="CMJ3" i="8" s="1"/>
  <c r="CMS3" i="8" a="1"/>
  <c r="CMS3" i="8" s="1"/>
  <c r="CNC3" i="8" a="1"/>
  <c r="CNC3" i="8" s="1"/>
  <c r="CNU3" i="8" a="1"/>
  <c r="CNU3" i="8" s="1"/>
  <c r="COW3" i="8" a="1"/>
  <c r="COW3" i="8" s="1"/>
  <c r="CPF3" i="8" a="1"/>
  <c r="CPF3" i="8" s="1"/>
  <c r="CPO3" i="8" a="1"/>
  <c r="CPO3" i="8" s="1"/>
  <c r="CQH3" i="8" a="1"/>
  <c r="CQH3" i="8" s="1"/>
  <c r="CQR3" i="8" a="1"/>
  <c r="CQR3" i="8" s="1"/>
  <c r="CRA3" i="8" a="1"/>
  <c r="CRA3" i="8" s="1"/>
  <c r="CRS3" i="8" a="1"/>
  <c r="CRS3" i="8" s="1"/>
  <c r="CSC3" i="8" a="1"/>
  <c r="CSC3" i="8" s="1"/>
  <c r="CSL3" i="8" a="1"/>
  <c r="CSL3" i="8" s="1"/>
  <c r="CSV3" i="8" a="1"/>
  <c r="CSV3" i="8" s="1"/>
  <c r="CTO3" i="8" a="1"/>
  <c r="CTO3" i="8" s="1"/>
  <c r="CTX3" i="8" a="1"/>
  <c r="CTX3" i="8" s="1"/>
  <c r="CUH3" i="8" a="1"/>
  <c r="CUH3" i="8" s="1"/>
  <c r="CUR3" i="8" a="1"/>
  <c r="CUR3" i="8" s="1"/>
  <c r="CVA3" i="8" a="1"/>
  <c r="CVA3" i="8" s="1"/>
  <c r="CVK3" i="8" a="1"/>
  <c r="CVK3" i="8" s="1"/>
  <c r="CWC3" i="8" a="1"/>
  <c r="CWC3" i="8" s="1"/>
  <c r="CWL3" i="8" a="1"/>
  <c r="CWL3" i="8" s="1"/>
  <c r="CWV3" i="8" a="1"/>
  <c r="CWV3" i="8" s="1"/>
  <c r="CXF3" i="8" a="1"/>
  <c r="CXF3" i="8" s="1"/>
  <c r="CXP3" i="8" a="1"/>
  <c r="CXP3" i="8" s="1"/>
  <c r="CXZ3" i="8" a="1"/>
  <c r="CXZ3" i="8" s="1"/>
  <c r="CYJ3" i="8" a="1"/>
  <c r="CYJ3" i="8" s="1"/>
  <c r="CZC3" i="8" a="1"/>
  <c r="CZC3" i="8" s="1"/>
  <c r="CZL3" i="8" a="1"/>
  <c r="CZL3" i="8" s="1"/>
  <c r="CZV3" i="8" a="1"/>
  <c r="CZV3" i="8" s="1"/>
  <c r="DAE3" i="8" a="1"/>
  <c r="DAE3" i="8" s="1"/>
  <c r="DAW3" i="8" a="1"/>
  <c r="DAW3" i="8" s="1"/>
  <c r="DBG3" i="8" a="1"/>
  <c r="DBG3" i="8" s="1"/>
  <c r="DBP3" i="8" a="1"/>
  <c r="DBP3" i="8" s="1"/>
  <c r="DCK3" i="8" a="1"/>
  <c r="DCK3" i="8" s="1"/>
  <c r="DDE3" i="8" a="1"/>
  <c r="DDE3" i="8" s="1"/>
  <c r="DDO3" i="8" a="1"/>
  <c r="DDO3" i="8" s="1"/>
  <c r="DEJ3" i="8" a="1"/>
  <c r="DEJ3" i="8" s="1"/>
  <c r="DET3" i="8" a="1"/>
  <c r="DET3" i="8" s="1"/>
  <c r="DFE3" i="8" a="1"/>
  <c r="DFE3" i="8" s="1"/>
  <c r="DFN3" i="8" a="1"/>
  <c r="DFN3" i="8" s="1"/>
  <c r="DGI3" i="8" a="1"/>
  <c r="DGI3" i="8" s="1"/>
  <c r="DGU3" i="8" a="1"/>
  <c r="DGU3" i="8" s="1"/>
  <c r="DHC3" i="8" a="1"/>
  <c r="DHC3" i="8" s="1"/>
  <c r="DHL3" i="8" a="1"/>
  <c r="DHL3" i="8" s="1"/>
  <c r="DHV3" i="8" a="1"/>
  <c r="DHV3" i="8" s="1"/>
  <c r="DIG3" i="8" a="1"/>
  <c r="DIG3" i="8" s="1"/>
  <c r="DIR3" i="8" a="1"/>
  <c r="DIR3" i="8" s="1"/>
  <c r="DJC3" i="8" a="1"/>
  <c r="DJC3" i="8" s="1"/>
  <c r="DJW3" i="8" a="1"/>
  <c r="DJW3" i="8" s="1"/>
  <c r="CER3" i="8" a="1"/>
  <c r="CER3" i="8" s="1"/>
  <c r="CGI3" i="8" a="1"/>
  <c r="CGI3" i="8" s="1"/>
  <c r="CHM3" i="8" a="1"/>
  <c r="CHM3" i="8" s="1"/>
  <c r="CIA3" i="8" a="1"/>
  <c r="CIA3" i="8" s="1"/>
  <c r="CIK3" i="8" a="1"/>
  <c r="CIK3" i="8" s="1"/>
  <c r="CJF3" i="8" a="1"/>
  <c r="CJF3" i="8" s="1"/>
  <c r="CJP3" i="8" a="1"/>
  <c r="CJP3" i="8" s="1"/>
  <c r="CJZ3" i="8" a="1"/>
  <c r="CJZ3" i="8" s="1"/>
  <c r="CKR3" i="8" a="1"/>
  <c r="CKR3" i="8" s="1"/>
  <c r="CLA3" i="8" a="1"/>
  <c r="CLA3" i="8" s="1"/>
  <c r="CLS3" i="8" a="1"/>
  <c r="CLS3" i="8" s="1"/>
  <c r="CMB3" i="8" a="1"/>
  <c r="CMB3" i="8" s="1"/>
  <c r="CMK3" i="8" a="1"/>
  <c r="CMK3" i="8" s="1"/>
  <c r="CMT3" i="8" a="1"/>
  <c r="CMT3" i="8" s="1"/>
  <c r="CNL3" i="8" a="1"/>
  <c r="CNL3" i="8" s="1"/>
  <c r="CNV3" i="8" a="1"/>
  <c r="CNV3" i="8" s="1"/>
  <c r="COE3" i="8" a="1"/>
  <c r="COE3" i="8" s="1"/>
  <c r="COO3" i="8" a="1"/>
  <c r="COO3" i="8" s="1"/>
  <c r="COX3" i="8" a="1"/>
  <c r="COX3" i="8" s="1"/>
  <c r="CPG3" i="8" a="1"/>
  <c r="CPG3" i="8" s="1"/>
  <c r="CPP3" i="8" a="1"/>
  <c r="CPP3" i="8" s="1"/>
  <c r="CPY3" i="8" a="1"/>
  <c r="CPY3" i="8" s="1"/>
  <c r="CQI3" i="8" a="1"/>
  <c r="CQI3" i="8" s="1"/>
  <c r="CRB3" i="8" a="1"/>
  <c r="CRB3" i="8" s="1"/>
  <c r="CRK3" i="8" a="1"/>
  <c r="CRK3" i="8" s="1"/>
  <c r="CRT3" i="8" a="1"/>
  <c r="CRT3" i="8" s="1"/>
  <c r="CSD3" i="8" a="1"/>
  <c r="CSD3" i="8" s="1"/>
  <c r="CSW3" i="8" a="1"/>
  <c r="CSW3" i="8" s="1"/>
  <c r="CTF3" i="8" a="1"/>
  <c r="CTF3" i="8" s="1"/>
  <c r="CTY3" i="8" a="1"/>
  <c r="CTY3" i="8" s="1"/>
  <c r="CUI3" i="8" a="1"/>
  <c r="CUI3" i="8" s="1"/>
  <c r="CUS3" i="8" a="1"/>
  <c r="CUS3" i="8" s="1"/>
  <c r="CVB3" i="8" a="1"/>
  <c r="CVB3" i="8" s="1"/>
  <c r="CVT3" i="8" a="1"/>
  <c r="CVT3" i="8" s="1"/>
  <c r="CWD3" i="8" a="1"/>
  <c r="CWD3" i="8" s="1"/>
  <c r="CWW3" i="8" a="1"/>
  <c r="CWW3" i="8" s="1"/>
  <c r="CXQ3" i="8" a="1"/>
  <c r="CXQ3" i="8" s="1"/>
  <c r="CYK3" i="8" a="1"/>
  <c r="CYK3" i="8" s="1"/>
  <c r="CYT3" i="8" a="1"/>
  <c r="CYT3" i="8" s="1"/>
  <c r="CZM3" i="8" a="1"/>
  <c r="CZM3" i="8" s="1"/>
  <c r="CZW3" i="8" a="1"/>
  <c r="CZW3" i="8" s="1"/>
  <c r="DAF3" i="8" a="1"/>
  <c r="DAF3" i="8" s="1"/>
  <c r="DAO3" i="8" a="1"/>
  <c r="DAO3" i="8" s="1"/>
  <c r="DAX3" i="8" a="1"/>
  <c r="DAX3" i="8" s="1"/>
  <c r="DBQ3" i="8" a="1"/>
  <c r="DBQ3" i="8" s="1"/>
  <c r="DCA3" i="8" a="1"/>
  <c r="DCA3" i="8" s="1"/>
  <c r="DCL3" i="8" a="1"/>
  <c r="DCL3" i="8" s="1"/>
  <c r="DCU3" i="8" a="1"/>
  <c r="DCU3" i="8" s="1"/>
  <c r="DDF3" i="8" a="1"/>
  <c r="DDF3" i="8" s="1"/>
  <c r="DDP3" i="8" a="1"/>
  <c r="DDP3" i="8" s="1"/>
  <c r="DDZ3" i="8" a="1"/>
  <c r="DDZ3" i="8" s="1"/>
  <c r="DEK3" i="8" a="1"/>
  <c r="DEK3" i="8" s="1"/>
  <c r="DFF3" i="8" a="1"/>
  <c r="DFF3" i="8" s="1"/>
  <c r="DFY3" i="8" a="1"/>
  <c r="DFY3" i="8" s="1"/>
  <c r="DGJ3" i="8" a="1"/>
  <c r="DGJ3" i="8" s="1"/>
  <c r="DHD3" i="8" a="1"/>
  <c r="DHD3" i="8" s="1"/>
  <c r="DHM3" i="8" a="1"/>
  <c r="DHM3" i="8" s="1"/>
  <c r="DHW3" i="8" a="1"/>
  <c r="DHW3" i="8" s="1"/>
  <c r="DIH3" i="8" a="1"/>
  <c r="DIH3" i="8" s="1"/>
  <c r="DJD3" i="8" a="1"/>
  <c r="DJD3" i="8" s="1"/>
  <c r="DJN3" i="8" a="1"/>
  <c r="DJN3" i="8" s="1"/>
  <c r="DJX3" i="8" a="1"/>
  <c r="DJX3" i="8" s="1"/>
  <c r="DKR3" i="8" a="1"/>
  <c r="DKR3" i="8" s="1"/>
  <c r="DLA3" i="8" a="1"/>
  <c r="DLA3" i="8" s="1"/>
  <c r="DLR3" i="8" a="1"/>
  <c r="DLR3" i="8" s="1"/>
  <c r="CGK3" i="8" a="1"/>
  <c r="CGK3" i="8" s="1"/>
  <c r="CHC3" i="8" a="1"/>
  <c r="CHC3" i="8" s="1"/>
  <c r="CHO3" i="8" a="1"/>
  <c r="CHO3" i="8" s="1"/>
  <c r="CIB3" i="8" a="1"/>
  <c r="CIB3" i="8" s="1"/>
  <c r="CIL3" i="8" a="1"/>
  <c r="CIL3" i="8" s="1"/>
  <c r="CIV3" i="8" a="1"/>
  <c r="CIV3" i="8" s="1"/>
  <c r="CJG3" i="8" a="1"/>
  <c r="CJG3" i="8" s="1"/>
  <c r="CJQ3" i="8" a="1"/>
  <c r="CJQ3" i="8" s="1"/>
  <c r="CKA3" i="8" a="1"/>
  <c r="CKA3" i="8" s="1"/>
  <c r="CKJ3" i="8" a="1"/>
  <c r="CKJ3" i="8" s="1"/>
  <c r="CKS3" i="8" a="1"/>
  <c r="CKS3" i="8" s="1"/>
  <c r="CLB3" i="8" a="1"/>
  <c r="CLB3" i="8" s="1"/>
  <c r="CLJ3" i="8" a="1"/>
  <c r="CLJ3" i="8" s="1"/>
  <c r="CLT3" i="8" a="1"/>
  <c r="CLT3" i="8" s="1"/>
  <c r="CMU3" i="8" a="1"/>
  <c r="CMU3" i="8" s="1"/>
  <c r="CND3" i="8" a="1"/>
  <c r="CND3" i="8" s="1"/>
  <c r="CNM3" i="8" a="1"/>
  <c r="CNM3" i="8" s="1"/>
  <c r="COF3" i="8" a="1"/>
  <c r="COF3" i="8" s="1"/>
  <c r="COP3" i="8" a="1"/>
  <c r="COP3" i="8" s="1"/>
  <c r="CPH3" i="8" a="1"/>
  <c r="CPH3" i="8" s="1"/>
  <c r="CPZ3" i="8" a="1"/>
  <c r="CPZ3" i="8" s="1"/>
  <c r="CQJ3" i="8" a="1"/>
  <c r="CQJ3" i="8" s="1"/>
  <c r="CQS3" i="8" a="1"/>
  <c r="CQS3" i="8" s="1"/>
  <c r="CRC3" i="8" a="1"/>
  <c r="CRC3" i="8" s="1"/>
  <c r="CRL3" i="8" a="1"/>
  <c r="CRL3" i="8" s="1"/>
  <c r="CRU3" i="8" a="1"/>
  <c r="CRU3" i="8" s="1"/>
  <c r="CSM3" i="8" a="1"/>
  <c r="CSM3" i="8" s="1"/>
  <c r="CTG3" i="8" a="1"/>
  <c r="CTG3" i="8" s="1"/>
  <c r="CTP3" i="8" a="1"/>
  <c r="CTP3" i="8" s="1"/>
  <c r="CTZ3" i="8" a="1"/>
  <c r="CTZ3" i="8" s="1"/>
  <c r="CUJ3" i="8" a="1"/>
  <c r="CUJ3" i="8" s="1"/>
  <c r="CVC3" i="8" a="1"/>
  <c r="CVC3" i="8" s="1"/>
  <c r="CVL3" i="8" a="1"/>
  <c r="CVL3" i="8" s="1"/>
  <c r="CVU3" i="8" a="1"/>
  <c r="CVU3" i="8" s="1"/>
  <c r="CWM3" i="8" a="1"/>
  <c r="CWM3" i="8" s="1"/>
  <c r="CWX3" i="8" a="1"/>
  <c r="CWX3" i="8" s="1"/>
  <c r="CXG3" i="8" a="1"/>
  <c r="CXG3" i="8" s="1"/>
  <c r="CXR3" i="8" a="1"/>
  <c r="CXR3" i="8" s="1"/>
  <c r="CYA3" i="8" a="1"/>
  <c r="CYA3" i="8" s="1"/>
  <c r="CYU3" i="8" a="1"/>
  <c r="CYU3" i="8" s="1"/>
  <c r="CZD3" i="8" a="1"/>
  <c r="CZD3" i="8" s="1"/>
  <c r="CZN3" i="8" a="1"/>
  <c r="CZN3" i="8" s="1"/>
  <c r="CZX3" i="8" a="1"/>
  <c r="CZX3" i="8" s="1"/>
  <c r="DAG3" i="8" a="1"/>
  <c r="DAG3" i="8" s="1"/>
  <c r="DAP3" i="8" a="1"/>
  <c r="DAP3" i="8" s="1"/>
  <c r="DAY3" i="8" a="1"/>
  <c r="DAY3" i="8" s="1"/>
  <c r="DBH3" i="8" a="1"/>
  <c r="DBH3" i="8" s="1"/>
  <c r="DBR3" i="8" a="1"/>
  <c r="DBR3" i="8" s="1"/>
  <c r="DCB3" i="8" a="1"/>
  <c r="DCB3" i="8" s="1"/>
  <c r="DCM3" i="8" a="1"/>
  <c r="DCM3" i="8" s="1"/>
  <c r="DCV3" i="8" a="1"/>
  <c r="DCV3" i="8" s="1"/>
  <c r="DDG3" i="8" a="1"/>
  <c r="DDG3" i="8" s="1"/>
  <c r="DDQ3" i="8" a="1"/>
  <c r="DDQ3" i="8" s="1"/>
  <c r="DEA3" i="8" a="1"/>
  <c r="DEA3" i="8" s="1"/>
  <c r="DEU3" i="8" a="1"/>
  <c r="DEU3" i="8" s="1"/>
  <c r="CFI3" i="8" a="1"/>
  <c r="CFI3" i="8" s="1"/>
  <c r="CGM3" i="8" a="1"/>
  <c r="CGM3" i="8" s="1"/>
  <c r="CHP3" i="8" a="1"/>
  <c r="CHP3" i="8" s="1"/>
  <c r="CIM3" i="8" a="1"/>
  <c r="CIM3" i="8" s="1"/>
  <c r="CIW3" i="8" a="1"/>
  <c r="CIW3" i="8" s="1"/>
  <c r="CJH3" i="8" a="1"/>
  <c r="CJH3" i="8" s="1"/>
  <c r="CKB3" i="8" a="1"/>
  <c r="CKB3" i="8" s="1"/>
  <c r="CKT3" i="8" a="1"/>
  <c r="CKT3" i="8" s="1"/>
  <c r="CMC3" i="8" a="1"/>
  <c r="CMC3" i="8" s="1"/>
  <c r="CML3" i="8" a="1"/>
  <c r="CML3" i="8" s="1"/>
  <c r="CMV3" i="8" a="1"/>
  <c r="CMV3" i="8" s="1"/>
  <c r="CNN3" i="8" a="1"/>
  <c r="CNN3" i="8" s="1"/>
  <c r="CNW3" i="8" a="1"/>
  <c r="CNW3" i="8" s="1"/>
  <c r="COG3" i="8" a="1"/>
  <c r="COG3" i="8" s="1"/>
  <c r="COY3" i="8" a="1"/>
  <c r="COY3" i="8" s="1"/>
  <c r="CPI3" i="8" a="1"/>
  <c r="CPI3" i="8" s="1"/>
  <c r="CPQ3" i="8" a="1"/>
  <c r="CPQ3" i="8" s="1"/>
  <c r="CQA3" i="8" a="1"/>
  <c r="CQA3" i="8" s="1"/>
  <c r="CQK3" i="8" a="1"/>
  <c r="CQK3" i="8" s="1"/>
  <c r="CQT3" i="8" a="1"/>
  <c r="CQT3" i="8" s="1"/>
  <c r="CSE3" i="8" a="1"/>
  <c r="CSE3" i="8" s="1"/>
  <c r="CSN3" i="8" a="1"/>
  <c r="CSN3" i="8" s="1"/>
  <c r="CSX3" i="8" a="1"/>
  <c r="CSX3" i="8" s="1"/>
  <c r="CTH3" i="8" a="1"/>
  <c r="CTH3" i="8" s="1"/>
  <c r="CTQ3" i="8" a="1"/>
  <c r="CTQ3" i="8" s="1"/>
  <c r="CUA3" i="8" a="1"/>
  <c r="CUA3" i="8" s="1"/>
  <c r="CUT3" i="8" a="1"/>
  <c r="CUT3" i="8" s="1"/>
  <c r="CVD3" i="8" a="1"/>
  <c r="CVD3" i="8" s="1"/>
  <c r="CVV3" i="8" a="1"/>
  <c r="CVV3" i="8" s="1"/>
  <c r="CWE3" i="8" a="1"/>
  <c r="CWE3" i="8" s="1"/>
  <c r="CWN3" i="8" a="1"/>
  <c r="CWN3" i="8" s="1"/>
  <c r="CWY3" i="8" a="1"/>
  <c r="CWY3" i="8" s="1"/>
  <c r="CXH3" i="8" a="1"/>
  <c r="CXH3" i="8" s="1"/>
  <c r="CXS3" i="8" a="1"/>
  <c r="CXS3" i="8" s="1"/>
  <c r="CYB3" i="8" a="1"/>
  <c r="CYB3" i="8" s="1"/>
  <c r="CYL3" i="8" a="1"/>
  <c r="CYL3" i="8" s="1"/>
  <c r="CYV3" i="8" a="1"/>
  <c r="CYV3" i="8" s="1"/>
  <c r="CZE3" i="8" a="1"/>
  <c r="CZE3" i="8" s="1"/>
  <c r="DAZ3" i="8" a="1"/>
  <c r="DAZ3" i="8" s="1"/>
  <c r="DBI3" i="8" a="1"/>
  <c r="DBI3" i="8" s="1"/>
  <c r="DBS3" i="8" a="1"/>
  <c r="DBS3" i="8" s="1"/>
  <c r="DCC3" i="8" a="1"/>
  <c r="DCC3" i="8" s="1"/>
  <c r="DCN3" i="8" a="1"/>
  <c r="DCN3" i="8" s="1"/>
  <c r="DCW3" i="8" a="1"/>
  <c r="DCW3" i="8" s="1"/>
  <c r="DDR3" i="8" a="1"/>
  <c r="DDR3" i="8" s="1"/>
  <c r="DEB3" i="8" a="1"/>
  <c r="DEB3" i="8" s="1"/>
  <c r="DEL3" i="8" a="1"/>
  <c r="DEL3" i="8" s="1"/>
  <c r="DEV3" i="8" a="1"/>
  <c r="DEV3" i="8" s="1"/>
  <c r="DFH3" i="8" a="1"/>
  <c r="DFH3" i="8" s="1"/>
  <c r="DFP3" i="8" a="1"/>
  <c r="DFP3" i="8" s="1"/>
  <c r="DGA3" i="8" a="1"/>
  <c r="DGA3" i="8" s="1"/>
  <c r="DGL3" i="8" a="1"/>
  <c r="DGL3" i="8" s="1"/>
  <c r="DGW3" i="8" a="1"/>
  <c r="DGW3" i="8" s="1"/>
  <c r="DHO3" i="8" a="1"/>
  <c r="DHO3" i="8" s="1"/>
  <c r="DII3" i="8" a="1"/>
  <c r="DII3" i="8" s="1"/>
  <c r="DIT3" i="8" a="1"/>
  <c r="DIT3" i="8" s="1"/>
  <c r="DJF3" i="8" a="1"/>
  <c r="DJF3" i="8" s="1"/>
  <c r="DKJ3" i="8" a="1"/>
  <c r="DKJ3" i="8" s="1"/>
  <c r="DKT3" i="8" a="1"/>
  <c r="DKT3" i="8" s="1"/>
  <c r="DLC3" i="8" a="1"/>
  <c r="DLC3" i="8" s="1"/>
  <c r="DLL3" i="8" a="1"/>
  <c r="DLL3" i="8" s="1"/>
  <c r="DLT3" i="8" a="1"/>
  <c r="DLT3" i="8" s="1"/>
  <c r="DMD3" i="8" a="1"/>
  <c r="DMD3" i="8" s="1"/>
  <c r="CFP3" i="8" a="1"/>
  <c r="CFP3" i="8" s="1"/>
  <c r="CGN3" i="8" a="1"/>
  <c r="CGN3" i="8" s="1"/>
  <c r="CHD3" i="8" a="1"/>
  <c r="CHD3" i="8" s="1"/>
  <c r="CHQ3" i="8" a="1"/>
  <c r="CHQ3" i="8" s="1"/>
  <c r="CID3" i="8" a="1"/>
  <c r="CID3" i="8" s="1"/>
  <c r="CIN3" i="8" a="1"/>
  <c r="CIN3" i="8" s="1"/>
  <c r="CIX3" i="8" a="1"/>
  <c r="CIX3" i="8" s="1"/>
  <c r="CJR3" i="8" a="1"/>
  <c r="CJR3" i="8" s="1"/>
  <c r="CKK3" i="8" a="1"/>
  <c r="CKK3" i="8" s="1"/>
  <c r="CLC3" i="8" a="1"/>
  <c r="CLC3" i="8" s="1"/>
  <c r="CLK3" i="8" a="1"/>
  <c r="CLK3" i="8" s="1"/>
  <c r="CLU3" i="8" a="1"/>
  <c r="CLU3" i="8" s="1"/>
  <c r="CMD3" i="8" a="1"/>
  <c r="CMD3" i="8" s="1"/>
  <c r="CMM3" i="8" a="1"/>
  <c r="CMM3" i="8" s="1"/>
  <c r="CNE3" i="8" a="1"/>
  <c r="CNE3" i="8" s="1"/>
  <c r="CNO3" i="8" a="1"/>
  <c r="CNO3" i="8" s="1"/>
  <c r="CNX3" i="8" a="1"/>
  <c r="CNX3" i="8" s="1"/>
  <c r="COH3" i="8" a="1"/>
  <c r="COH3" i="8" s="1"/>
  <c r="COQ3" i="8" a="1"/>
  <c r="COQ3" i="8" s="1"/>
  <c r="COZ3" i="8" a="1"/>
  <c r="COZ3" i="8" s="1"/>
  <c r="CPJ3" i="8" a="1"/>
  <c r="CPJ3" i="8" s="1"/>
  <c r="CPR3" i="8" a="1"/>
  <c r="CPR3" i="8" s="1"/>
  <c r="CQB3" i="8" a="1"/>
  <c r="CQB3" i="8" s="1"/>
  <c r="CQU3" i="8" a="1"/>
  <c r="CQU3" i="8" s="1"/>
  <c r="CRD3" i="8" a="1"/>
  <c r="CRD3" i="8" s="1"/>
  <c r="CRM3" i="8" a="1"/>
  <c r="CRM3" i="8" s="1"/>
  <c r="CRV3" i="8" a="1"/>
  <c r="CRV3" i="8" s="1"/>
  <c r="CSO3" i="8" a="1"/>
  <c r="CSO3" i="8" s="1"/>
  <c r="CSY3" i="8" a="1"/>
  <c r="CSY3" i="8" s="1"/>
  <c r="CTI3" i="8" a="1"/>
  <c r="CTI3" i="8" s="1"/>
  <c r="CTR3" i="8" a="1"/>
  <c r="CTR3" i="8" s="1"/>
  <c r="CUB3" i="8" a="1"/>
  <c r="CUB3" i="8" s="1"/>
  <c r="CUK3" i="8" a="1"/>
  <c r="CUK3" i="8" s="1"/>
  <c r="CUU3" i="8" a="1"/>
  <c r="CUU3" i="8" s="1"/>
  <c r="CVM3" i="8" a="1"/>
  <c r="CVM3" i="8" s="1"/>
  <c r="CVW3" i="8" a="1"/>
  <c r="CVW3" i="8" s="1"/>
  <c r="CWF3" i="8" a="1"/>
  <c r="CWF3" i="8" s="1"/>
  <c r="CWO3" i="8" a="1"/>
  <c r="CWO3" i="8" s="1"/>
  <c r="CWZ3" i="8" a="1"/>
  <c r="CWZ3" i="8" s="1"/>
  <c r="CXI3" i="8" a="1"/>
  <c r="CXI3" i="8" s="1"/>
  <c r="CYC3" i="8" a="1"/>
  <c r="CYC3" i="8" s="1"/>
  <c r="CYM3" i="8" a="1"/>
  <c r="CYM3" i="8" s="1"/>
  <c r="CYW3" i="8" a="1"/>
  <c r="CYW3" i="8" s="1"/>
  <c r="CZF3" i="8" a="1"/>
  <c r="CZF3" i="8" s="1"/>
  <c r="CZO3" i="8" a="1"/>
  <c r="CZO3" i="8" s="1"/>
  <c r="CZY3" i="8" a="1"/>
  <c r="CZY3" i="8" s="1"/>
  <c r="DAH3" i="8" a="1"/>
  <c r="DAH3" i="8" s="1"/>
  <c r="DAQ3" i="8" a="1"/>
  <c r="DAQ3" i="8" s="1"/>
  <c r="DBJ3" i="8" a="1"/>
  <c r="DBJ3" i="8" s="1"/>
  <c r="DBT3" i="8" a="1"/>
  <c r="DBT3" i="8" s="1"/>
  <c r="DCD3" i="8" a="1"/>
  <c r="DCD3" i="8" s="1"/>
  <c r="DCX3" i="8" a="1"/>
  <c r="DCX3" i="8" s="1"/>
  <c r="DDH3" i="8" a="1"/>
  <c r="DDH3" i="8" s="1"/>
  <c r="DDS3" i="8" a="1"/>
  <c r="DDS3" i="8" s="1"/>
  <c r="DEC3" i="8" a="1"/>
  <c r="DEC3" i="8" s="1"/>
  <c r="DEW3" i="8" a="1"/>
  <c r="DEW3" i="8" s="1"/>
  <c r="DFQ3" i="8" a="1"/>
  <c r="DFQ3" i="8" s="1"/>
  <c r="DGB3" i="8" a="1"/>
  <c r="DGB3" i="8" s="1"/>
  <c r="DGM3" i="8" a="1"/>
  <c r="DGM3" i="8" s="1"/>
  <c r="DGX3" i="8" a="1"/>
  <c r="DGX3" i="8" s="1"/>
  <c r="DHF3" i="8" a="1"/>
  <c r="DHF3" i="8" s="1"/>
  <c r="DHP3" i="8" a="1"/>
  <c r="DHP3" i="8" s="1"/>
  <c r="DHY3" i="8" a="1"/>
  <c r="DHY3" i="8" s="1"/>
  <c r="DIJ3" i="8" a="1"/>
  <c r="DIJ3" i="8" s="1"/>
  <c r="DIU3" i="8" a="1"/>
  <c r="DIU3" i="8" s="1"/>
  <c r="CFR3" i="8" a="1"/>
  <c r="CFR3" i="8" s="1"/>
  <c r="CGP3" i="8" a="1"/>
  <c r="CGP3" i="8" s="1"/>
  <c r="CHF3" i="8" a="1"/>
  <c r="CHF3" i="8" s="1"/>
  <c r="CHR3" i="8" a="1"/>
  <c r="CHR3" i="8" s="1"/>
  <c r="CIE3" i="8" a="1"/>
  <c r="CIE3" i="8" s="1"/>
  <c r="CIO3" i="8" a="1"/>
  <c r="CIO3" i="8" s="1"/>
  <c r="CIY3" i="8" a="1"/>
  <c r="CIY3" i="8" s="1"/>
  <c r="CJI3" i="8" a="1"/>
  <c r="CJI3" i="8" s="1"/>
  <c r="CJS3" i="8" a="1"/>
  <c r="CJS3" i="8" s="1"/>
  <c r="CKC3" i="8" a="1"/>
  <c r="CKC3" i="8" s="1"/>
  <c r="CKL3" i="8" a="1"/>
  <c r="CKL3" i="8" s="1"/>
  <c r="CKU3" i="8" a="1"/>
  <c r="CKU3" i="8" s="1"/>
  <c r="CLD3" i="8" a="1"/>
  <c r="CLD3" i="8" s="1"/>
  <c r="CLL3" i="8" a="1"/>
  <c r="CLL3" i="8" s="1"/>
  <c r="CLV3" i="8" a="1"/>
  <c r="CLV3" i="8" s="1"/>
  <c r="CMN3" i="8" a="1"/>
  <c r="CMN3" i="8" s="1"/>
  <c r="CMW3" i="8" a="1"/>
  <c r="CMW3" i="8" s="1"/>
  <c r="CNF3" i="8" a="1"/>
  <c r="CNF3" i="8" s="1"/>
  <c r="CNP3" i="8" a="1"/>
  <c r="CNP3" i="8" s="1"/>
  <c r="COI3" i="8" a="1"/>
  <c r="COI3" i="8" s="1"/>
  <c r="COR3" i="8" a="1"/>
  <c r="COR3" i="8" s="1"/>
  <c r="CPA3" i="8" a="1"/>
  <c r="CPA3" i="8" s="1"/>
  <c r="CQC3" i="8" a="1"/>
  <c r="CQC3" i="8" s="1"/>
  <c r="CQL3" i="8" a="1"/>
  <c r="CQL3" i="8" s="1"/>
  <c r="CRE3" i="8" a="1"/>
  <c r="CRE3" i="8" s="1"/>
  <c r="CRN3" i="8" a="1"/>
  <c r="CRN3" i="8" s="1"/>
  <c r="CRW3" i="8" a="1"/>
  <c r="CRW3" i="8" s="1"/>
  <c r="CSF3" i="8" a="1"/>
  <c r="CSF3" i="8" s="1"/>
  <c r="CSP3" i="8" a="1"/>
  <c r="CSP3" i="8" s="1"/>
  <c r="CTJ3" i="8" a="1"/>
  <c r="CTJ3" i="8" s="1"/>
  <c r="CUL3" i="8" a="1"/>
  <c r="CUL3" i="8" s="1"/>
  <c r="CUV3" i="8" a="1"/>
  <c r="CUV3" i="8" s="1"/>
  <c r="CVE3" i="8" a="1"/>
  <c r="CVE3" i="8" s="1"/>
  <c r="CVN3" i="8" a="1"/>
  <c r="CVN3" i="8" s="1"/>
  <c r="CVX3" i="8" a="1"/>
  <c r="CVX3" i="8" s="1"/>
  <c r="CWP3" i="8" a="1"/>
  <c r="CWP3" i="8" s="1"/>
  <c r="CXJ3" i="8" a="1"/>
  <c r="CXJ3" i="8" s="1"/>
  <c r="CXT3" i="8" a="1"/>
  <c r="CXT3" i="8" s="1"/>
  <c r="CYD3" i="8" a="1"/>
  <c r="CYD3" i="8" s="1"/>
  <c r="CYX3" i="8" a="1"/>
  <c r="CYX3" i="8" s="1"/>
  <c r="CZP3" i="8" a="1"/>
  <c r="CZP3" i="8" s="1"/>
  <c r="CZZ3" i="8" a="1"/>
  <c r="CZZ3" i="8" s="1"/>
  <c r="DAI3" i="8" a="1"/>
  <c r="DAI3" i="8" s="1"/>
  <c r="DAR3" i="8" a="1"/>
  <c r="DAR3" i="8" s="1"/>
  <c r="DBA3" i="8" a="1"/>
  <c r="DBA3" i="8" s="1"/>
  <c r="DCE3" i="8" a="1"/>
  <c r="DCE3" i="8" s="1"/>
  <c r="DCO3" i="8" a="1"/>
  <c r="DCO3" i="8" s="1"/>
  <c r="DCY3" i="8" a="1"/>
  <c r="DCY3" i="8" s="1"/>
  <c r="DDI3" i="8" a="1"/>
  <c r="DDI3" i="8" s="1"/>
  <c r="DDT3" i="8" a="1"/>
  <c r="DDT3" i="8" s="1"/>
  <c r="DED3" i="8" a="1"/>
  <c r="DED3" i="8" s="1"/>
  <c r="DEM3" i="8" a="1"/>
  <c r="DEM3" i="8" s="1"/>
  <c r="DEX3" i="8" a="1"/>
  <c r="DEX3" i="8" s="1"/>
  <c r="DFI3" i="8" a="1"/>
  <c r="DFI3" i="8" s="1"/>
  <c r="DFR3" i="8" a="1"/>
  <c r="DFR3" i="8" s="1"/>
  <c r="DGC3" i="8" a="1"/>
  <c r="DGC3" i="8" s="1"/>
  <c r="DGN3" i="8" a="1"/>
  <c r="DGN3" i="8" s="1"/>
  <c r="DHQ3" i="8" a="1"/>
  <c r="DHQ3" i="8" s="1"/>
  <c r="DHZ3" i="8" a="1"/>
  <c r="DHZ3" i="8" s="1"/>
  <c r="DIK3" i="8" a="1"/>
  <c r="DIK3" i="8" s="1"/>
  <c r="CGR3" i="8" a="1"/>
  <c r="CGR3" i="8" s="1"/>
  <c r="CHT3" i="8" a="1"/>
  <c r="CHT3" i="8" s="1"/>
  <c r="CIF3" i="8" a="1"/>
  <c r="CIF3" i="8" s="1"/>
  <c r="CIP3" i="8" a="1"/>
  <c r="CIP3" i="8" s="1"/>
  <c r="CIZ3" i="8" a="1"/>
  <c r="CIZ3" i="8" s="1"/>
  <c r="CJJ3" i="8" a="1"/>
  <c r="CJJ3" i="8" s="1"/>
  <c r="CJT3" i="8" a="1"/>
  <c r="CJT3" i="8" s="1"/>
  <c r="CKD3" i="8" a="1"/>
  <c r="CKD3" i="8" s="1"/>
  <c r="CKM3" i="8" a="1"/>
  <c r="CKM3" i="8" s="1"/>
  <c r="CKV3" i="8" a="1"/>
  <c r="CKV3" i="8" s="1"/>
  <c r="CLM3" i="8" a="1"/>
  <c r="CLM3" i="8" s="1"/>
  <c r="CME3" i="8" a="1"/>
  <c r="CME3" i="8" s="1"/>
  <c r="CMO3" i="8" a="1"/>
  <c r="CMO3" i="8" s="1"/>
  <c r="CMX3" i="8" a="1"/>
  <c r="CMX3" i="8" s="1"/>
  <c r="CNG3" i="8" a="1"/>
  <c r="CNG3" i="8" s="1"/>
  <c r="CNY3" i="8" a="1"/>
  <c r="CNY3" i="8" s="1"/>
  <c r="CPK3" i="8" a="1"/>
  <c r="CPK3" i="8" s="1"/>
  <c r="CPS3" i="8" a="1"/>
  <c r="CPS3" i="8" s="1"/>
  <c r="CQM3" i="8" a="1"/>
  <c r="CQM3" i="8" s="1"/>
  <c r="CQV3" i="8" a="1"/>
  <c r="CQV3" i="8" s="1"/>
  <c r="CRF3" i="8" a="1"/>
  <c r="CRF3" i="8" s="1"/>
  <c r="CRO3" i="8" a="1"/>
  <c r="CRO3" i="8" s="1"/>
  <c r="CRX3" i="8" a="1"/>
  <c r="CRX3" i="8" s="1"/>
  <c r="CSG3" i="8" a="1"/>
  <c r="CSG3" i="8" s="1"/>
  <c r="CSQ3" i="8" a="1"/>
  <c r="CSQ3" i="8" s="1"/>
  <c r="CSZ3" i="8" a="1"/>
  <c r="CSZ3" i="8" s="1"/>
  <c r="CTS3" i="8" a="1"/>
  <c r="CTS3" i="8" s="1"/>
  <c r="CUC3" i="8" a="1"/>
  <c r="CUC3" i="8" s="1"/>
  <c r="CUW3" i="8" a="1"/>
  <c r="CUW3" i="8" s="1"/>
  <c r="CVF3" i="8" a="1"/>
  <c r="CVF3" i="8" s="1"/>
  <c r="CVO3" i="8" a="1"/>
  <c r="CVO3" i="8" s="1"/>
  <c r="CWG3" i="8" a="1"/>
  <c r="CWG3" i="8" s="1"/>
  <c r="CWQ3" i="8" a="1"/>
  <c r="CWQ3" i="8" s="1"/>
  <c r="CXA3" i="8" a="1"/>
  <c r="CXA3" i="8" s="1"/>
  <c r="CXK3" i="8" a="1"/>
  <c r="CXK3" i="8" s="1"/>
  <c r="CXU3" i="8" a="1"/>
  <c r="CXU3" i="8" s="1"/>
  <c r="CYE3" i="8" a="1"/>
  <c r="CYE3" i="8" s="1"/>
  <c r="CYN3" i="8" a="1"/>
  <c r="CYN3" i="8" s="1"/>
  <c r="CZG3" i="8" a="1"/>
  <c r="CZG3" i="8" s="1"/>
  <c r="CZQ3" i="8" a="1"/>
  <c r="CZQ3" i="8" s="1"/>
  <c r="DAJ3" i="8" a="1"/>
  <c r="DAJ3" i="8" s="1"/>
  <c r="DBB3" i="8" a="1"/>
  <c r="DBB3" i="8" s="1"/>
  <c r="DBK3" i="8" a="1"/>
  <c r="DBK3" i="8" s="1"/>
  <c r="DBU3" i="8" a="1"/>
  <c r="DBU3" i="8" s="1"/>
  <c r="DCF3" i="8" a="1"/>
  <c r="DCF3" i="8" s="1"/>
  <c r="DCP3" i="8" a="1"/>
  <c r="DCP3" i="8" s="1"/>
  <c r="DCZ3" i="8" a="1"/>
  <c r="DCZ3" i="8" s="1"/>
  <c r="DDJ3" i="8" a="1"/>
  <c r="DDJ3" i="8" s="1"/>
  <c r="DEN3" i="8" a="1"/>
  <c r="DEN3" i="8" s="1"/>
  <c r="DEY3" i="8" a="1"/>
  <c r="DEY3" i="8" s="1"/>
  <c r="DFJ3" i="8" a="1"/>
  <c r="DFJ3" i="8" s="1"/>
  <c r="DFS3" i="8" a="1"/>
  <c r="DFS3" i="8" s="1"/>
  <c r="DGD3" i="8" a="1"/>
  <c r="DGD3" i="8" s="1"/>
  <c r="DGO3" i="8" a="1"/>
  <c r="DGO3" i="8" s="1"/>
  <c r="DGY3" i="8" a="1"/>
  <c r="DGY3" i="8" s="1"/>
  <c r="DHG3" i="8" a="1"/>
  <c r="DHG3" i="8" s="1"/>
  <c r="DHR3" i="8" a="1"/>
  <c r="DHR3" i="8" s="1"/>
  <c r="DIA3" i="8" a="1"/>
  <c r="DIA3" i="8" s="1"/>
  <c r="DIL3" i="8" a="1"/>
  <c r="DIL3" i="8" s="1"/>
  <c r="DIW3" i="8" a="1"/>
  <c r="DIW3" i="8" s="1"/>
  <c r="DJI3" i="8" a="1"/>
  <c r="DJI3" i="8" s="1"/>
  <c r="DJR3" i="8" a="1"/>
  <c r="DJR3" i="8" s="1"/>
  <c r="DKB3" i="8" a="1"/>
  <c r="DKB3" i="8" s="1"/>
  <c r="DKL3" i="8" a="1"/>
  <c r="DKL3" i="8" s="1"/>
  <c r="CFX3" i="8" a="1"/>
  <c r="CFX3" i="8" s="1"/>
  <c r="CGU3" i="8" a="1"/>
  <c r="CGU3" i="8" s="1"/>
  <c r="CHH3" i="8" a="1"/>
  <c r="CHH3" i="8" s="1"/>
  <c r="CHU3" i="8" a="1"/>
  <c r="CHU3" i="8" s="1"/>
  <c r="CIG3" i="8" a="1"/>
  <c r="CIG3" i="8" s="1"/>
  <c r="CJA3" i="8" a="1"/>
  <c r="CJA3" i="8" s="1"/>
  <c r="CJU3" i="8" a="1"/>
  <c r="CJU3" i="8" s="1"/>
  <c r="CKN3" i="8" a="1"/>
  <c r="CKN3" i="8" s="1"/>
  <c r="CLE3" i="8" a="1"/>
  <c r="CLE3" i="8" s="1"/>
  <c r="CLN3" i="8" a="1"/>
  <c r="CLN3" i="8" s="1"/>
  <c r="CLW3" i="8" a="1"/>
  <c r="CLW3" i="8" s="1"/>
  <c r="CMF3" i="8" a="1"/>
  <c r="CMF3" i="8" s="1"/>
  <c r="CMP3" i="8" a="1"/>
  <c r="CMP3" i="8" s="1"/>
  <c r="CNH3" i="8" a="1"/>
  <c r="CNH3" i="8" s="1"/>
  <c r="CNQ3" i="8" a="1"/>
  <c r="CNQ3" i="8" s="1"/>
  <c r="CNZ3" i="8" a="1"/>
  <c r="CNZ3" i="8" s="1"/>
  <c r="COJ3" i="8" a="1"/>
  <c r="COJ3" i="8" s="1"/>
  <c r="COS3" i="8" a="1"/>
  <c r="COS3" i="8" s="1"/>
  <c r="CPB3" i="8" a="1"/>
  <c r="CPB3" i="8" s="1"/>
  <c r="CPT3" i="8" a="1"/>
  <c r="CPT3" i="8" s="1"/>
  <c r="CQD3" i="8" a="1"/>
  <c r="CQD3" i="8" s="1"/>
  <c r="CQN3" i="8" a="1"/>
  <c r="CQN3" i="8" s="1"/>
  <c r="CQW3" i="8" a="1"/>
  <c r="CQW3" i="8" s="1"/>
  <c r="CRG3" i="8" a="1"/>
  <c r="CRG3" i="8" s="1"/>
  <c r="CRP3" i="8" a="1"/>
  <c r="CRP3" i="8" s="1"/>
  <c r="CRY3" i="8" a="1"/>
  <c r="CRY3" i="8" s="1"/>
  <c r="CSH3" i="8" a="1"/>
  <c r="CSH3" i="8" s="1"/>
  <c r="CSR3" i="8" a="1"/>
  <c r="CSR3" i="8" s="1"/>
  <c r="CTA3" i="8" a="1"/>
  <c r="CTA3" i="8" s="1"/>
  <c r="CTK3" i="8" a="1"/>
  <c r="CTK3" i="8" s="1"/>
  <c r="CTT3" i="8" a="1"/>
  <c r="CTT3" i="8" s="1"/>
  <c r="CUD3" i="8" a="1"/>
  <c r="CUD3" i="8" s="1"/>
  <c r="CUM3" i="8" a="1"/>
  <c r="CUM3" i="8" s="1"/>
  <c r="CUX3" i="8" a="1"/>
  <c r="CUX3" i="8" s="1"/>
  <c r="CVP3" i="8" a="1"/>
  <c r="CVP3" i="8" s="1"/>
  <c r="CVY3" i="8" a="1"/>
  <c r="CVY3" i="8" s="1"/>
  <c r="CWH3" i="8" a="1"/>
  <c r="CWH3" i="8" s="1"/>
  <c r="CXB3" i="8" a="1"/>
  <c r="CXB3" i="8" s="1"/>
  <c r="CXL3" i="8" a="1"/>
  <c r="CXL3" i="8" s="1"/>
  <c r="CXV3" i="8" a="1"/>
  <c r="CXV3" i="8" s="1"/>
  <c r="CYF3" i="8" a="1"/>
  <c r="CYF3" i="8" s="1"/>
  <c r="CYO3" i="8" a="1"/>
  <c r="CYO3" i="8" s="1"/>
  <c r="CYY3" i="8" a="1"/>
  <c r="CYY3" i="8" s="1"/>
  <c r="CZH3" i="8" a="1"/>
  <c r="CZH3" i="8" s="1"/>
  <c r="CZR3" i="8" a="1"/>
  <c r="CZR3" i="8" s="1"/>
  <c r="DAA3" i="8" a="1"/>
  <c r="DAA3" i="8" s="1"/>
  <c r="DAK3" i="8" a="1"/>
  <c r="DAK3" i="8" s="1"/>
  <c r="DAS3" i="8" a="1"/>
  <c r="DAS3" i="8" s="1"/>
  <c r="DBC3" i="8" a="1"/>
  <c r="DBC3" i="8" s="1"/>
  <c r="DBL3" i="8" a="1"/>
  <c r="DBL3" i="8" s="1"/>
  <c r="DBV3" i="8" a="1"/>
  <c r="DBV3" i="8" s="1"/>
  <c r="DCG3" i="8" a="1"/>
  <c r="DCG3" i="8" s="1"/>
  <c r="DCQ3" i="8" a="1"/>
  <c r="DCQ3" i="8" s="1"/>
  <c r="DDA3" i="8" a="1"/>
  <c r="DDA3" i="8" s="1"/>
  <c r="DDK3" i="8" a="1"/>
  <c r="DDK3" i="8" s="1"/>
  <c r="DDU3" i="8" a="1"/>
  <c r="DDU3" i="8" s="1"/>
  <c r="DEE3" i="8" a="1"/>
  <c r="DEE3" i="8" s="1"/>
  <c r="DEO3" i="8" a="1"/>
  <c r="DEO3" i="8" s="1"/>
  <c r="DEZ3" i="8" a="1"/>
  <c r="DEZ3" i="8" s="1"/>
  <c r="DFK3" i="8" a="1"/>
  <c r="DFK3" i="8" s="1"/>
  <c r="DFT3" i="8" a="1"/>
  <c r="DFT3" i="8" s="1"/>
  <c r="DGE3" i="8" a="1"/>
  <c r="DGE3" i="8" s="1"/>
  <c r="DGP3" i="8" a="1"/>
  <c r="DGP3" i="8" s="1"/>
  <c r="DGZ3" i="8" a="1"/>
  <c r="DGZ3" i="8" s="1"/>
  <c r="CFZ3" i="8" a="1"/>
  <c r="CFZ3" i="8" s="1"/>
  <c r="CGW3" i="8" a="1"/>
  <c r="CGW3" i="8" s="1"/>
  <c r="CIH3" i="8" a="1"/>
  <c r="CIH3" i="8" s="1"/>
  <c r="CIQ3" i="8" a="1"/>
  <c r="CIQ3" i="8" s="1"/>
  <c r="CJB3" i="8" a="1"/>
  <c r="CJB3" i="8" s="1"/>
  <c r="CJK3" i="8" a="1"/>
  <c r="CJK3" i="8" s="1"/>
  <c r="CJV3" i="8" a="1"/>
  <c r="CJV3" i="8" s="1"/>
  <c r="CKE3" i="8" a="1"/>
  <c r="CKE3" i="8" s="1"/>
  <c r="CKO3" i="8" a="1"/>
  <c r="CKO3" i="8" s="1"/>
  <c r="CKW3" i="8" a="1"/>
  <c r="CKW3" i="8" s="1"/>
  <c r="CLF3" i="8" a="1"/>
  <c r="CLF3" i="8" s="1"/>
  <c r="CLO3" i="8" a="1"/>
  <c r="CLO3" i="8" s="1"/>
  <c r="CLX3" i="8" a="1"/>
  <c r="CLX3" i="8" s="1"/>
  <c r="CMG3" i="8" a="1"/>
  <c r="CMG3" i="8" s="1"/>
  <c r="CMY3" i="8" a="1"/>
  <c r="CMY3" i="8" s="1"/>
  <c r="CNI3" i="8" a="1"/>
  <c r="CNI3" i="8" s="1"/>
  <c r="COA3" i="8" a="1"/>
  <c r="COA3" i="8" s="1"/>
  <c r="COK3" i="8" a="1"/>
  <c r="COK3" i="8" s="1"/>
  <c r="COT3" i="8" a="1"/>
  <c r="COT3" i="8" s="1"/>
  <c r="CPC3" i="8" a="1"/>
  <c r="CPC3" i="8" s="1"/>
  <c r="CPL3" i="8" a="1"/>
  <c r="CPL3" i="8" s="1"/>
  <c r="CPU3" i="8" a="1"/>
  <c r="CPU3" i="8" s="1"/>
  <c r="CQE3" i="8" a="1"/>
  <c r="CQE3" i="8" s="1"/>
  <c r="CQO3" i="8" a="1"/>
  <c r="CQO3" i="8" s="1"/>
  <c r="CQX3" i="8" a="1"/>
  <c r="CQX3" i="8" s="1"/>
  <c r="CRH3" i="8" a="1"/>
  <c r="CRH3" i="8" s="1"/>
  <c r="CSI3" i="8" a="1"/>
  <c r="CSI3" i="8" s="1"/>
  <c r="CTB3" i="8" a="1"/>
  <c r="CTB3" i="8" s="1"/>
  <c r="CTL3" i="8" a="1"/>
  <c r="CTL3" i="8" s="1"/>
  <c r="CTU3" i="8" a="1"/>
  <c r="CTU3" i="8" s="1"/>
  <c r="CUE3" i="8" a="1"/>
  <c r="CUE3" i="8" s="1"/>
  <c r="CUN3" i="8" a="1"/>
  <c r="CUN3" i="8" s="1"/>
  <c r="CVG3" i="8" a="1"/>
  <c r="CVG3" i="8" s="1"/>
  <c r="CVQ3" i="8" a="1"/>
  <c r="CVQ3" i="8" s="1"/>
  <c r="CWI3" i="8" a="1"/>
  <c r="CWI3" i="8" s="1"/>
  <c r="CWR3" i="8" a="1"/>
  <c r="CWR3" i="8" s="1"/>
  <c r="CXC3" i="8" a="1"/>
  <c r="CXC3" i="8" s="1"/>
  <c r="CXM3" i="8" a="1"/>
  <c r="CXM3" i="8" s="1"/>
  <c r="CXW3" i="8" a="1"/>
  <c r="CXW3" i="8" s="1"/>
  <c r="CYP3" i="8" a="1"/>
  <c r="CYP3" i="8" s="1"/>
  <c r="CYZ3" i="8" a="1"/>
  <c r="CYZ3" i="8" s="1"/>
  <c r="CZI3" i="8" a="1"/>
  <c r="CZI3" i="8" s="1"/>
  <c r="CZS3" i="8" a="1"/>
  <c r="CZS3" i="8" s="1"/>
  <c r="DAL3" i="8" a="1"/>
  <c r="DAL3" i="8" s="1"/>
  <c r="DAT3" i="8" a="1"/>
  <c r="DAT3" i="8" s="1"/>
  <c r="DBD3" i="8" a="1"/>
  <c r="DBD3" i="8" s="1"/>
  <c r="DBM3" i="8" a="1"/>
  <c r="DBM3" i="8" s="1"/>
  <c r="DBW3" i="8" a="1"/>
  <c r="DBW3" i="8" s="1"/>
  <c r="DCH3" i="8" a="1"/>
  <c r="DCH3" i="8" s="1"/>
  <c r="DCR3" i="8" a="1"/>
  <c r="DCR3" i="8" s="1"/>
  <c r="DDL3" i="8" a="1"/>
  <c r="DDL3" i="8" s="1"/>
  <c r="DDV3" i="8" a="1"/>
  <c r="DDV3" i="8" s="1"/>
  <c r="DEF3" i="8" a="1"/>
  <c r="DEF3" i="8" s="1"/>
  <c r="CGB3" i="8" a="1"/>
  <c r="CGB3" i="8" s="1"/>
  <c r="CHJ3" i="8" a="1"/>
  <c r="CHJ3" i="8" s="1"/>
  <c r="CHV3" i="8" a="1"/>
  <c r="CHV3" i="8" s="1"/>
  <c r="CIR3" i="8" a="1"/>
  <c r="CIR3" i="8" s="1"/>
  <c r="CJC3" i="8" a="1"/>
  <c r="CJC3" i="8" s="1"/>
  <c r="CJL3" i="8" a="1"/>
  <c r="CJL3" i="8" s="1"/>
  <c r="CJW3" i="8" a="1"/>
  <c r="CJW3" i="8" s="1"/>
  <c r="CKF3" i="8" a="1"/>
  <c r="CKF3" i="8" s="1"/>
  <c r="CLG3" i="8" a="1"/>
  <c r="CLG3" i="8" s="1"/>
  <c r="CMQ3" i="8" a="1"/>
  <c r="CMQ3" i="8" s="1"/>
  <c r="CMZ3" i="8" a="1"/>
  <c r="CMZ3" i="8" s="1"/>
  <c r="CNR3" i="8" a="1"/>
  <c r="CNR3" i="8" s="1"/>
  <c r="COB3" i="8" a="1"/>
  <c r="COB3" i="8" s="1"/>
  <c r="COL3" i="8" a="1"/>
  <c r="COL3" i="8" s="1"/>
  <c r="COU3" i="8" a="1"/>
  <c r="COU3" i="8" s="1"/>
  <c r="CPD3" i="8" a="1"/>
  <c r="CPD3" i="8" s="1"/>
  <c r="CPM3" i="8" a="1"/>
  <c r="CPM3" i="8" s="1"/>
  <c r="CPV3" i="8" a="1"/>
  <c r="CPV3" i="8" s="1"/>
  <c r="CQP3" i="8" a="1"/>
  <c r="CQP3" i="8" s="1"/>
  <c r="CRQ3" i="8" a="1"/>
  <c r="CRQ3" i="8" s="1"/>
  <c r="CRZ3" i="8" a="1"/>
  <c r="CRZ3" i="8" s="1"/>
  <c r="CSJ3" i="8" a="1"/>
  <c r="CSJ3" i="8" s="1"/>
  <c r="CSS3" i="8" a="1"/>
  <c r="CSS3" i="8" s="1"/>
  <c r="CTC3" i="8" a="1"/>
  <c r="CTC3" i="8" s="1"/>
  <c r="CTV3" i="8" a="1"/>
  <c r="CTV3" i="8" s="1"/>
  <c r="CUF3" i="8" a="1"/>
  <c r="CUF3" i="8" s="1"/>
  <c r="CUO3" i="8" a="1"/>
  <c r="CUO3" i="8" s="1"/>
  <c r="CUY3" i="8" a="1"/>
  <c r="CUY3" i="8" s="1"/>
  <c r="CVH3" i="8" a="1"/>
  <c r="CVH3" i="8" s="1"/>
  <c r="CVZ3" i="8" a="1"/>
  <c r="CVZ3" i="8" s="1"/>
  <c r="CWJ3" i="8" a="1"/>
  <c r="CWJ3" i="8" s="1"/>
  <c r="CWS3" i="8" a="1"/>
  <c r="CWS3" i="8" s="1"/>
  <c r="CXD3" i="8" a="1"/>
  <c r="CXD3" i="8" s="1"/>
  <c r="CXX3" i="8" a="1"/>
  <c r="CXX3" i="8" s="1"/>
  <c r="CYG3" i="8" a="1"/>
  <c r="CYG3" i="8" s="1"/>
  <c r="CYQ3" i="8" a="1"/>
  <c r="CYQ3" i="8" s="1"/>
  <c r="CZJ3" i="8" a="1"/>
  <c r="CZJ3" i="8" s="1"/>
  <c r="CZT3" i="8" a="1"/>
  <c r="CZT3" i="8" s="1"/>
  <c r="DAB3" i="8" a="1"/>
  <c r="DAB3" i="8" s="1"/>
  <c r="DAM3" i="8" a="1"/>
  <c r="DAM3" i="8" s="1"/>
  <c r="DBE3" i="8" a="1"/>
  <c r="DBE3" i="8" s="1"/>
  <c r="DBX3" i="8" a="1"/>
  <c r="DBX3" i="8" s="1"/>
  <c r="DCI3" i="8" a="1"/>
  <c r="DCI3" i="8" s="1"/>
  <c r="DDB3" i="8" a="1"/>
  <c r="DDB3" i="8" s="1"/>
  <c r="DDW3" i="8" a="1"/>
  <c r="DDW3" i="8" s="1"/>
  <c r="DEG3" i="8" a="1"/>
  <c r="DEG3" i="8" s="1"/>
  <c r="DEQ3" i="8" a="1"/>
  <c r="DEQ3" i="8" s="1"/>
  <c r="DFB3" i="8" a="1"/>
  <c r="DFB3" i="8" s="1"/>
  <c r="DFL3" i="8" a="1"/>
  <c r="DFL3" i="8" s="1"/>
  <c r="DFV3" i="8" a="1"/>
  <c r="DFV3" i="8" s="1"/>
  <c r="DGG3" i="8" a="1"/>
  <c r="DGG3" i="8" s="1"/>
  <c r="DGR3" i="8" a="1"/>
  <c r="DGR3" i="8" s="1"/>
  <c r="DHJ3" i="8" a="1"/>
  <c r="DHJ3" i="8" s="1"/>
  <c r="DID3" i="8" a="1"/>
  <c r="DID3" i="8" s="1"/>
  <c r="DIO3" i="8" a="1"/>
  <c r="DIO3" i="8" s="1"/>
  <c r="DIZ3" i="8" a="1"/>
  <c r="DIZ3" i="8" s="1"/>
  <c r="DJL3" i="8" a="1"/>
  <c r="DJL3" i="8" s="1"/>
  <c r="DJU3" i="8" a="1"/>
  <c r="DJU3" i="8" s="1"/>
  <c r="DKE3" i="8" a="1"/>
  <c r="DKE3" i="8" s="1"/>
  <c r="DKN3" i="8" a="1"/>
  <c r="DKN3" i="8" s="1"/>
  <c r="DKY3" i="8" a="1"/>
  <c r="DKY3" i="8" s="1"/>
  <c r="DLG3" i="8" a="1"/>
  <c r="DLG3" i="8" s="1"/>
  <c r="DLP3" i="8" a="1"/>
  <c r="DLP3" i="8" s="1"/>
  <c r="DLX3" i="8" a="1"/>
  <c r="DLX3" i="8" s="1"/>
  <c r="CGD3" i="8" a="1"/>
  <c r="CGD3" i="8" s="1"/>
  <c r="CGY3" i="8" a="1"/>
  <c r="CGY3" i="8" s="1"/>
  <c r="CHW3" i="8" a="1"/>
  <c r="CHW3" i="8" s="1"/>
  <c r="CII3" i="8" a="1"/>
  <c r="CII3" i="8" s="1"/>
  <c r="CIS3" i="8" a="1"/>
  <c r="CIS3" i="8" s="1"/>
  <c r="CJD3" i="8" a="1"/>
  <c r="CJD3" i="8" s="1"/>
  <c r="CJM3" i="8" a="1"/>
  <c r="CJM3" i="8" s="1"/>
  <c r="CKG3" i="8" a="1"/>
  <c r="CKG3" i="8" s="1"/>
  <c r="CKP3" i="8" a="1"/>
  <c r="CKP3" i="8" s="1"/>
  <c r="CKX3" i="8" a="1"/>
  <c r="CKX3" i="8" s="1"/>
  <c r="CLP3" i="8" a="1"/>
  <c r="CLP3" i="8" s="1"/>
  <c r="CLY3" i="8" a="1"/>
  <c r="CLY3" i="8" s="1"/>
  <c r="CMH3" i="8" a="1"/>
  <c r="CMH3" i="8" s="1"/>
  <c r="CNA3" i="8" a="1"/>
  <c r="CNA3" i="8" s="1"/>
  <c r="CNJ3" i="8" a="1"/>
  <c r="CNJ3" i="8" s="1"/>
  <c r="CNS3" i="8" a="1"/>
  <c r="CNS3" i="8" s="1"/>
  <c r="COC3" i="8" a="1"/>
  <c r="COC3" i="8" s="1"/>
  <c r="COM3" i="8" a="1"/>
  <c r="COM3" i="8" s="1"/>
  <c r="COV3" i="8" a="1"/>
  <c r="COV3" i="8" s="1"/>
  <c r="CPE3" i="8" a="1"/>
  <c r="CPE3" i="8" s="1"/>
  <c r="CPN3" i="8" a="1"/>
  <c r="CPN3" i="8" s="1"/>
  <c r="CPW3" i="8" a="1"/>
  <c r="CPW3" i="8" s="1"/>
  <c r="CQF3" i="8" a="1"/>
  <c r="CQF3" i="8" s="1"/>
  <c r="CQY3" i="8" a="1"/>
  <c r="CQY3" i="8" s="1"/>
  <c r="CRI3" i="8" a="1"/>
  <c r="CRI3" i="8" s="1"/>
  <c r="CRR3" i="8" a="1"/>
  <c r="CRR3" i="8" s="1"/>
  <c r="CSA3" i="8" a="1"/>
  <c r="CSA3" i="8" s="1"/>
  <c r="CST3" i="8" a="1"/>
  <c r="CST3" i="8" s="1"/>
  <c r="CTD3" i="8" a="1"/>
  <c r="CTD3" i="8" s="1"/>
  <c r="CTM3" i="8" a="1"/>
  <c r="CTM3" i="8" s="1"/>
  <c r="CTW3" i="8" a="1"/>
  <c r="CTW3" i="8" s="1"/>
  <c r="CUP3" i="8" a="1"/>
  <c r="CUP3" i="8" s="1"/>
  <c r="CVI3" i="8" a="1"/>
  <c r="CVI3" i="8" s="1"/>
  <c r="CVR3" i="8" a="1"/>
  <c r="CVR3" i="8" s="1"/>
  <c r="CWA3" i="8" a="1"/>
  <c r="CWA3" i="8" s="1"/>
  <c r="CWK3" i="8" a="1"/>
  <c r="CWK3" i="8" s="1"/>
  <c r="CWT3" i="8" a="1"/>
  <c r="CWT3" i="8" s="1"/>
  <c r="CXN3" i="8" a="1"/>
  <c r="CXN3" i="8" s="1"/>
  <c r="CYH3" i="8" a="1"/>
  <c r="CYH3" i="8" s="1"/>
  <c r="CYR3" i="8" a="1"/>
  <c r="CYR3" i="8" s="1"/>
  <c r="CZA3" i="8" a="1"/>
  <c r="CZA3" i="8" s="1"/>
  <c r="CZK3" i="8" a="1"/>
  <c r="CZK3" i="8" s="1"/>
  <c r="DAC3" i="8" a="1"/>
  <c r="DAC3" i="8" s="1"/>
  <c r="DAU3" i="8" a="1"/>
  <c r="DAU3" i="8" s="1"/>
  <c r="DBN3" i="8" a="1"/>
  <c r="DBN3" i="8" s="1"/>
  <c r="DBY3" i="8" a="1"/>
  <c r="DBY3" i="8" s="1"/>
  <c r="DCJ3" i="8" a="1"/>
  <c r="DCJ3" i="8" s="1"/>
  <c r="DCS3" i="8" a="1"/>
  <c r="DCS3" i="8" s="1"/>
  <c r="DDC3" i="8" a="1"/>
  <c r="DDC3" i="8" s="1"/>
  <c r="DDM3" i="8" a="1"/>
  <c r="DDM3" i="8" s="1"/>
  <c r="DDX3" i="8" a="1"/>
  <c r="DDX3" i="8" s="1"/>
  <c r="DEH3" i="8" a="1"/>
  <c r="DEH3" i="8" s="1"/>
  <c r="DER3" i="8" a="1"/>
  <c r="DER3" i="8" s="1"/>
  <c r="AAZ3" i="8" a="1"/>
  <c r="AAZ3" i="8" s="1"/>
  <c r="ABK3" i="8" a="1"/>
  <c r="ABK3" i="8" s="1"/>
  <c r="ABW3" i="8" a="1"/>
  <c r="ABW3" i="8" s="1"/>
  <c r="ACI3" i="8" a="1"/>
  <c r="ACI3" i="8" s="1"/>
  <c r="ACU3" i="8" a="1"/>
  <c r="ACU3" i="8" s="1"/>
  <c r="ADF3" i="8" a="1"/>
  <c r="ADF3" i="8" s="1"/>
  <c r="ADQ3" i="8" a="1"/>
  <c r="ADQ3" i="8" s="1"/>
  <c r="AEB3" i="8" a="1"/>
  <c r="AEB3" i="8" s="1"/>
  <c r="AEN3" i="8" a="1"/>
  <c r="AEN3" i="8" s="1"/>
  <c r="AEZ3" i="8" a="1"/>
  <c r="AEZ3" i="8" s="1"/>
  <c r="AFL3" i="8" a="1"/>
  <c r="AFL3" i="8" s="1"/>
  <c r="AFW3" i="8" a="1"/>
  <c r="AFW3" i="8" s="1"/>
  <c r="AGH3" i="8" a="1"/>
  <c r="AGH3" i="8" s="1"/>
  <c r="AGS3" i="8" a="1"/>
  <c r="AGS3" i="8" s="1"/>
  <c r="AHD3" i="8" a="1"/>
  <c r="AHD3" i="8" s="1"/>
  <c r="AHP3" i="8" a="1"/>
  <c r="AHP3" i="8" s="1"/>
  <c r="AIB3" i="8" a="1"/>
  <c r="AIB3" i="8" s="1"/>
  <c r="AIM3" i="8" a="1"/>
  <c r="AIM3" i="8" s="1"/>
  <c r="AIX3" i="8" a="1"/>
  <c r="AIX3" i="8" s="1"/>
  <c r="AJI3" i="8" a="1"/>
  <c r="AJI3" i="8" s="1"/>
  <c r="AJT3" i="8" a="1"/>
  <c r="AJT3" i="8" s="1"/>
  <c r="AKF3" i="8" a="1"/>
  <c r="AKF3" i="8" s="1"/>
  <c r="AKR3" i="8" a="1"/>
  <c r="AKR3" i="8" s="1"/>
  <c r="ALC3" i="8" a="1"/>
  <c r="ALC3" i="8" s="1"/>
  <c r="ALN3" i="8" a="1"/>
  <c r="ALN3" i="8" s="1"/>
  <c r="ALY3" i="8" a="1"/>
  <c r="ALY3" i="8" s="1"/>
  <c r="AMI3" i="8" a="1"/>
  <c r="AMI3" i="8" s="1"/>
  <c r="AMU3" i="8" a="1"/>
  <c r="AMU3" i="8" s="1"/>
  <c r="ANG3" i="8" a="1"/>
  <c r="ANG3" i="8" s="1"/>
  <c r="ANR3" i="8" a="1"/>
  <c r="ANR3" i="8" s="1"/>
  <c r="AON3" i="8" a="1"/>
  <c r="AON3" i="8" s="1"/>
  <c r="AOY3" i="8" a="1"/>
  <c r="AOY3" i="8" s="1"/>
  <c r="APJ3" i="8" a="1"/>
  <c r="APJ3" i="8" s="1"/>
  <c r="APV3" i="8" a="1"/>
  <c r="APV3" i="8" s="1"/>
  <c r="AQH3" i="8" a="1"/>
  <c r="AQH3" i="8" s="1"/>
  <c r="AQS3" i="8" a="1"/>
  <c r="AQS3" i="8" s="1"/>
  <c r="ARD3" i="8" a="1"/>
  <c r="ARD3" i="8" s="1"/>
  <c r="ARZ3" i="8" a="1"/>
  <c r="ARZ3" i="8" s="1"/>
  <c r="ASL3" i="8" a="1"/>
  <c r="ASL3" i="8" s="1"/>
  <c r="ASW3" i="8" a="1"/>
  <c r="ASW3" i="8" s="1"/>
  <c r="ATH3" i="8" a="1"/>
  <c r="ATH3" i="8" s="1"/>
  <c r="ATS3" i="8" a="1"/>
  <c r="ATS3" i="8" s="1"/>
  <c r="AUD3" i="8" a="1"/>
  <c r="AUD3" i="8" s="1"/>
  <c r="AUY3" i="8" a="1"/>
  <c r="AUY3" i="8" s="1"/>
  <c r="AVJ3" i="8" a="1"/>
  <c r="AVJ3" i="8" s="1"/>
  <c r="AVU3" i="8" a="1"/>
  <c r="AVU3" i="8" s="1"/>
  <c r="AWF3" i="8" a="1"/>
  <c r="AWF3" i="8" s="1"/>
  <c r="AWQ3" i="8" a="1"/>
  <c r="AWQ3" i="8" s="1"/>
  <c r="AXB3" i="8" a="1"/>
  <c r="AXB3" i="8" s="1"/>
  <c r="AXM3" i="8" a="1"/>
  <c r="AXM3" i="8" s="1"/>
  <c r="AXX3" i="8" a="1"/>
  <c r="AXX3" i="8" s="1"/>
  <c r="AYI3" i="8" a="1"/>
  <c r="AYI3" i="8" s="1"/>
  <c r="AYU3" i="8" a="1"/>
  <c r="AYU3" i="8" s="1"/>
  <c r="AZG3" i="8" a="1"/>
  <c r="AZG3" i="8" s="1"/>
  <c r="AZS3" i="8" a="1"/>
  <c r="AZS3" i="8" s="1"/>
  <c r="BAE3" i="8" a="1"/>
  <c r="BAE3" i="8" s="1"/>
  <c r="BAQ3" i="8" a="1"/>
  <c r="BAQ3" i="8" s="1"/>
  <c r="BBC3" i="8" a="1"/>
  <c r="BBC3" i="8" s="1"/>
  <c r="BBO3" i="8" a="1"/>
  <c r="BBO3" i="8" s="1"/>
  <c r="BCA3" i="8" a="1"/>
  <c r="BCA3" i="8" s="1"/>
  <c r="BCM3" i="8" a="1"/>
  <c r="BCM3" i="8" s="1"/>
  <c r="BCY3" i="8" a="1"/>
  <c r="BCY3" i="8" s="1"/>
  <c r="BDK3" i="8" a="1"/>
  <c r="BDK3" i="8" s="1"/>
  <c r="BDW3" i="8" a="1"/>
  <c r="BDW3" i="8" s="1"/>
  <c r="BEI3" i="8" a="1"/>
  <c r="BEI3" i="8" s="1"/>
  <c r="BEU3" i="8" a="1"/>
  <c r="BEU3" i="8" s="1"/>
  <c r="BFG3" i="8" a="1"/>
  <c r="BFG3" i="8" s="1"/>
  <c r="BFS3" i="8" a="1"/>
  <c r="BFS3" i="8" s="1"/>
  <c r="ABA3" i="8" a="1"/>
  <c r="ABA3" i="8" s="1"/>
  <c r="ABL3" i="8" a="1"/>
  <c r="ABL3" i="8" s="1"/>
  <c r="ABX3" i="8" a="1"/>
  <c r="ABX3" i="8" s="1"/>
  <c r="ACJ3" i="8" a="1"/>
  <c r="ACJ3" i="8" s="1"/>
  <c r="ACV3" i="8" a="1"/>
  <c r="ACV3" i="8" s="1"/>
  <c r="ADG3" i="8" a="1"/>
  <c r="ADG3" i="8" s="1"/>
  <c r="ADR3" i="8" a="1"/>
  <c r="ADR3" i="8" s="1"/>
  <c r="AEC3" i="8" a="1"/>
  <c r="AEC3" i="8" s="1"/>
  <c r="AEO3" i="8" a="1"/>
  <c r="AEO3" i="8" s="1"/>
  <c r="AFA3" i="8" a="1"/>
  <c r="AFA3" i="8" s="1"/>
  <c r="AFM3" i="8" a="1"/>
  <c r="AFM3" i="8" s="1"/>
  <c r="AFX3" i="8" a="1"/>
  <c r="AFX3" i="8" s="1"/>
  <c r="AGI3" i="8" a="1"/>
  <c r="AGI3" i="8" s="1"/>
  <c r="AHE3" i="8" a="1"/>
  <c r="AHE3" i="8" s="1"/>
  <c r="AHQ3" i="8" a="1"/>
  <c r="AHQ3" i="8" s="1"/>
  <c r="AIC3" i="8" a="1"/>
  <c r="AIC3" i="8" s="1"/>
  <c r="AIN3" i="8" a="1"/>
  <c r="AIN3" i="8" s="1"/>
  <c r="AIY3" i="8" a="1"/>
  <c r="AIY3" i="8" s="1"/>
  <c r="AJJ3" i="8" a="1"/>
  <c r="AJJ3" i="8" s="1"/>
  <c r="AJU3" i="8" a="1"/>
  <c r="AJU3" i="8" s="1"/>
  <c r="AKG3" i="8" a="1"/>
  <c r="AKG3" i="8" s="1"/>
  <c r="AKS3" i="8" a="1"/>
  <c r="AKS3" i="8" s="1"/>
  <c r="ALD3" i="8" a="1"/>
  <c r="ALD3" i="8" s="1"/>
  <c r="ALO3" i="8" a="1"/>
  <c r="ALO3" i="8" s="1"/>
  <c r="ALZ3" i="8" a="1"/>
  <c r="ALZ3" i="8" s="1"/>
  <c r="AMJ3" i="8" a="1"/>
  <c r="AMJ3" i="8" s="1"/>
  <c r="AMV3" i="8" a="1"/>
  <c r="AMV3" i="8" s="1"/>
  <c r="ANH3" i="8" a="1"/>
  <c r="ANH3" i="8" s="1"/>
  <c r="ANS3" i="8" a="1"/>
  <c r="ANS3" i="8" s="1"/>
  <c r="AOD3" i="8" a="1"/>
  <c r="AOD3" i="8" s="1"/>
  <c r="AOO3" i="8" a="1"/>
  <c r="AOO3" i="8" s="1"/>
  <c r="AOZ3" i="8" a="1"/>
  <c r="AOZ3" i="8" s="1"/>
  <c r="APK3" i="8" a="1"/>
  <c r="APK3" i="8" s="1"/>
  <c r="APW3" i="8" a="1"/>
  <c r="APW3" i="8" s="1"/>
  <c r="AQI3" i="8" a="1"/>
  <c r="AQI3" i="8" s="1"/>
  <c r="AQT3" i="8" a="1"/>
  <c r="AQT3" i="8" s="1"/>
  <c r="ARE3" i="8" a="1"/>
  <c r="ARE3" i="8" s="1"/>
  <c r="ARP3" i="8" a="1"/>
  <c r="ARP3" i="8" s="1"/>
  <c r="ASA3" i="8" a="1"/>
  <c r="ASA3" i="8" s="1"/>
  <c r="ASM3" i="8" a="1"/>
  <c r="ASM3" i="8" s="1"/>
  <c r="ASX3" i="8" a="1"/>
  <c r="ASX3" i="8" s="1"/>
  <c r="ATI3" i="8" a="1"/>
  <c r="ATI3" i="8" s="1"/>
  <c r="ATT3" i="8" a="1"/>
  <c r="ATT3" i="8" s="1"/>
  <c r="AUE3" i="8" a="1"/>
  <c r="AUE3" i="8" s="1"/>
  <c r="AUP3" i="8" a="1"/>
  <c r="AUP3" i="8" s="1"/>
  <c r="AUZ3" i="8" a="1"/>
  <c r="AUZ3" i="8" s="1"/>
  <c r="AVK3" i="8" a="1"/>
  <c r="AVK3" i="8" s="1"/>
  <c r="AWG3" i="8" a="1"/>
  <c r="AWG3" i="8" s="1"/>
  <c r="AWR3" i="8" a="1"/>
  <c r="AWR3" i="8" s="1"/>
  <c r="AXC3" i="8" a="1"/>
  <c r="AXC3" i="8" s="1"/>
  <c r="AXN3" i="8" a="1"/>
  <c r="AXN3" i="8" s="1"/>
  <c r="AXY3" i="8" a="1"/>
  <c r="AXY3" i="8" s="1"/>
  <c r="AYJ3" i="8" a="1"/>
  <c r="AYJ3" i="8" s="1"/>
  <c r="AYV3" i="8" a="1"/>
  <c r="AYV3" i="8" s="1"/>
  <c r="AZH3" i="8" a="1"/>
  <c r="AZH3" i="8" s="1"/>
  <c r="AZT3" i="8" a="1"/>
  <c r="AZT3" i="8" s="1"/>
  <c r="BAF3" i="8" a="1"/>
  <c r="BAF3" i="8" s="1"/>
  <c r="BAR3" i="8" a="1"/>
  <c r="BAR3" i="8" s="1"/>
  <c r="BBD3" i="8" a="1"/>
  <c r="BBD3" i="8" s="1"/>
  <c r="BBP3" i="8" a="1"/>
  <c r="BBP3" i="8" s="1"/>
  <c r="BCB3" i="8" a="1"/>
  <c r="BCB3" i="8" s="1"/>
  <c r="BCN3" i="8" a="1"/>
  <c r="BCN3" i="8" s="1"/>
  <c r="BCZ3" i="8" a="1"/>
  <c r="BCZ3" i="8" s="1"/>
  <c r="BDL3" i="8" a="1"/>
  <c r="BDL3" i="8" s="1"/>
  <c r="BDX3" i="8" a="1"/>
  <c r="BDX3" i="8" s="1"/>
  <c r="BEJ3" i="8" a="1"/>
  <c r="BEJ3" i="8" s="1"/>
  <c r="BEV3" i="8" a="1"/>
  <c r="BEV3" i="8" s="1"/>
  <c r="BFH3" i="8" a="1"/>
  <c r="BFH3" i="8" s="1"/>
  <c r="BFT3" i="8" a="1"/>
  <c r="BFT3" i="8" s="1"/>
  <c r="BGE3" i="8" a="1"/>
  <c r="BGE3" i="8" s="1"/>
  <c r="BGP3" i="8" a="1"/>
  <c r="BGP3" i="8" s="1"/>
  <c r="BGY3" i="8" a="1"/>
  <c r="BGY3" i="8" s="1"/>
  <c r="BHH3" i="8" a="1"/>
  <c r="BHH3" i="8" s="1"/>
  <c r="ABB3" i="8" a="1"/>
  <c r="ABB3" i="8" s="1"/>
  <c r="ABM3" i="8" a="1"/>
  <c r="ABM3" i="8" s="1"/>
  <c r="ABY3" i="8" a="1"/>
  <c r="ABY3" i="8" s="1"/>
  <c r="ACK3" i="8" a="1"/>
  <c r="ACK3" i="8" s="1"/>
  <c r="ACW3" i="8" a="1"/>
  <c r="ACW3" i="8" s="1"/>
  <c r="ADH3" i="8" a="1"/>
  <c r="ADH3" i="8" s="1"/>
  <c r="ADS3" i="8" a="1"/>
  <c r="ADS3" i="8" s="1"/>
  <c r="AED3" i="8" a="1"/>
  <c r="AED3" i="8" s="1"/>
  <c r="AEP3" i="8" a="1"/>
  <c r="AEP3" i="8" s="1"/>
  <c r="AFB3" i="8" a="1"/>
  <c r="AFB3" i="8" s="1"/>
  <c r="AFN3" i="8" a="1"/>
  <c r="AFN3" i="8" s="1"/>
  <c r="AFY3" i="8" a="1"/>
  <c r="AFY3" i="8" s="1"/>
  <c r="AGJ3" i="8" a="1"/>
  <c r="AGJ3" i="8" s="1"/>
  <c r="AGT3" i="8" a="1"/>
  <c r="AGT3" i="8" s="1"/>
  <c r="AHF3" i="8" a="1"/>
  <c r="AHF3" i="8" s="1"/>
  <c r="AHR3" i="8" a="1"/>
  <c r="AHR3" i="8" s="1"/>
  <c r="AIO3" i="8" a="1"/>
  <c r="AIO3" i="8" s="1"/>
  <c r="AIZ3" i="8" a="1"/>
  <c r="AIZ3" i="8" s="1"/>
  <c r="AJK3" i="8" a="1"/>
  <c r="AJK3" i="8" s="1"/>
  <c r="AJV3" i="8" a="1"/>
  <c r="AJV3" i="8" s="1"/>
  <c r="AKH3" i="8" a="1"/>
  <c r="AKH3" i="8" s="1"/>
  <c r="AKT3" i="8" a="1"/>
  <c r="AKT3" i="8" s="1"/>
  <c r="ALE3" i="8" a="1"/>
  <c r="ALE3" i="8" s="1"/>
  <c r="AMA3" i="8" a="1"/>
  <c r="AMA3" i="8" s="1"/>
  <c r="AMK3" i="8" a="1"/>
  <c r="AMK3" i="8" s="1"/>
  <c r="AMW3" i="8" a="1"/>
  <c r="AMW3" i="8" s="1"/>
  <c r="ANI3" i="8" a="1"/>
  <c r="ANI3" i="8" s="1"/>
  <c r="ANT3" i="8" a="1"/>
  <c r="ANT3" i="8" s="1"/>
  <c r="AOE3" i="8" a="1"/>
  <c r="AOE3" i="8" s="1"/>
  <c r="AOP3" i="8" a="1"/>
  <c r="AOP3" i="8" s="1"/>
  <c r="APA3" i="8" a="1"/>
  <c r="APA3" i="8" s="1"/>
  <c r="APL3" i="8" a="1"/>
  <c r="APL3" i="8" s="1"/>
  <c r="APX3" i="8" a="1"/>
  <c r="APX3" i="8" s="1"/>
  <c r="AQJ3" i="8" a="1"/>
  <c r="AQJ3" i="8" s="1"/>
  <c r="AQU3" i="8" a="1"/>
  <c r="AQU3" i="8" s="1"/>
  <c r="ARF3" i="8" a="1"/>
  <c r="ARF3" i="8" s="1"/>
  <c r="ARQ3" i="8" a="1"/>
  <c r="ARQ3" i="8" s="1"/>
  <c r="ASB3" i="8" a="1"/>
  <c r="ASB3" i="8" s="1"/>
  <c r="ASN3" i="8" a="1"/>
  <c r="ASN3" i="8" s="1"/>
  <c r="ASY3" i="8" a="1"/>
  <c r="ASY3" i="8" s="1"/>
  <c r="ATJ3" i="8" a="1"/>
  <c r="ATJ3" i="8" s="1"/>
  <c r="ATU3" i="8" a="1"/>
  <c r="ATU3" i="8" s="1"/>
  <c r="AUF3" i="8" a="1"/>
  <c r="AUF3" i="8" s="1"/>
  <c r="AUQ3" i="8" a="1"/>
  <c r="AUQ3" i="8" s="1"/>
  <c r="AVA3" i="8" a="1"/>
  <c r="AVA3" i="8" s="1"/>
  <c r="AVL3" i="8" a="1"/>
  <c r="AVL3" i="8" s="1"/>
  <c r="ABC3" i="8" a="1"/>
  <c r="ABC3" i="8" s="1"/>
  <c r="ABN3" i="8" a="1"/>
  <c r="ABN3" i="8" s="1"/>
  <c r="ABZ3" i="8" a="1"/>
  <c r="ABZ3" i="8" s="1"/>
  <c r="ACL3" i="8" a="1"/>
  <c r="ACL3" i="8" s="1"/>
  <c r="ACX3" i="8" a="1"/>
  <c r="ACX3" i="8" s="1"/>
  <c r="ADI3" i="8" a="1"/>
  <c r="ADI3" i="8" s="1"/>
  <c r="ADT3" i="8" a="1"/>
  <c r="ADT3" i="8" s="1"/>
  <c r="AEE3" i="8" a="1"/>
  <c r="AEE3" i="8" s="1"/>
  <c r="AEQ3" i="8" a="1"/>
  <c r="AEQ3" i="8" s="1"/>
  <c r="AFC3" i="8" a="1"/>
  <c r="AFC3" i="8" s="1"/>
  <c r="AFO3" i="8" a="1"/>
  <c r="AFO3" i="8" s="1"/>
  <c r="AFZ3" i="8" a="1"/>
  <c r="AFZ3" i="8" s="1"/>
  <c r="AGK3" i="8" a="1"/>
  <c r="AGK3" i="8" s="1"/>
  <c r="AGU3" i="8" a="1"/>
  <c r="AGU3" i="8" s="1"/>
  <c r="AHG3" i="8" a="1"/>
  <c r="AHG3" i="8" s="1"/>
  <c r="AHS3" i="8" a="1"/>
  <c r="AHS3" i="8" s="1"/>
  <c r="AID3" i="8" a="1"/>
  <c r="AID3" i="8" s="1"/>
  <c r="AIP3" i="8" a="1"/>
  <c r="AIP3" i="8" s="1"/>
  <c r="AJA3" i="8" a="1"/>
  <c r="AJA3" i="8" s="1"/>
  <c r="AJL3" i="8" a="1"/>
  <c r="AJL3" i="8" s="1"/>
  <c r="AJW3" i="8" a="1"/>
  <c r="AJW3" i="8" s="1"/>
  <c r="AKI3" i="8" a="1"/>
  <c r="AKI3" i="8" s="1"/>
  <c r="AKU3" i="8" a="1"/>
  <c r="AKU3" i="8" s="1"/>
  <c r="ALF3" i="8" a="1"/>
  <c r="ALF3" i="8" s="1"/>
  <c r="ALP3" i="8" a="1"/>
  <c r="ALP3" i="8" s="1"/>
  <c r="AML3" i="8" a="1"/>
  <c r="AML3" i="8" s="1"/>
  <c r="AMX3" i="8" a="1"/>
  <c r="AMX3" i="8" s="1"/>
  <c r="ANJ3" i="8" a="1"/>
  <c r="ANJ3" i="8" s="1"/>
  <c r="ANU3" i="8" a="1"/>
  <c r="ANU3" i="8" s="1"/>
  <c r="AOF3" i="8" a="1"/>
  <c r="AOF3" i="8" s="1"/>
  <c r="AOQ3" i="8" a="1"/>
  <c r="AOQ3" i="8" s="1"/>
  <c r="APM3" i="8" a="1"/>
  <c r="APM3" i="8" s="1"/>
  <c r="APY3" i="8" a="1"/>
  <c r="APY3" i="8" s="1"/>
  <c r="AQK3" i="8" a="1"/>
  <c r="AQK3" i="8" s="1"/>
  <c r="AQV3" i="8" a="1"/>
  <c r="AQV3" i="8" s="1"/>
  <c r="ARG3" i="8" a="1"/>
  <c r="ARG3" i="8" s="1"/>
  <c r="ARR3" i="8" a="1"/>
  <c r="ARR3" i="8" s="1"/>
  <c r="ASC3" i="8" a="1"/>
  <c r="ASC3" i="8" s="1"/>
  <c r="ASO3" i="8" a="1"/>
  <c r="ASO3" i="8" s="1"/>
  <c r="ASZ3" i="8" a="1"/>
  <c r="ASZ3" i="8" s="1"/>
  <c r="ATK3" i="8" a="1"/>
  <c r="ATK3" i="8" s="1"/>
  <c r="ATV3" i="8" a="1"/>
  <c r="ATV3" i="8" s="1"/>
  <c r="AUG3" i="8" a="1"/>
  <c r="AUG3" i="8" s="1"/>
  <c r="AUR3" i="8" a="1"/>
  <c r="AUR3" i="8" s="1"/>
  <c r="AVM3" i="8" a="1"/>
  <c r="AVM3" i="8" s="1"/>
  <c r="AVW3" i="8" a="1"/>
  <c r="AVW3" i="8" s="1"/>
  <c r="AWI3" i="8" a="1"/>
  <c r="AWI3" i="8" s="1"/>
  <c r="AXE3" i="8" a="1"/>
  <c r="AXE3" i="8" s="1"/>
  <c r="AXP3" i="8" a="1"/>
  <c r="AXP3" i="8" s="1"/>
  <c r="AYA3" i="8" a="1"/>
  <c r="AYA3" i="8" s="1"/>
  <c r="AYL3" i="8" a="1"/>
  <c r="AYL3" i="8" s="1"/>
  <c r="AYX3" i="8" a="1"/>
  <c r="AYX3" i="8" s="1"/>
  <c r="AZJ3" i="8" a="1"/>
  <c r="AZJ3" i="8" s="1"/>
  <c r="AZV3" i="8" a="1"/>
  <c r="AZV3" i="8" s="1"/>
  <c r="BAH3" i="8" a="1"/>
  <c r="BAH3" i="8" s="1"/>
  <c r="BAT3" i="8" a="1"/>
  <c r="BAT3" i="8" s="1"/>
  <c r="BBF3" i="8" a="1"/>
  <c r="BBF3" i="8" s="1"/>
  <c r="BBR3" i="8" a="1"/>
  <c r="BBR3" i="8" s="1"/>
  <c r="BCD3" i="8" a="1"/>
  <c r="BCD3" i="8" s="1"/>
  <c r="BCP3" i="8" a="1"/>
  <c r="BCP3" i="8" s="1"/>
  <c r="BDB3" i="8" a="1"/>
  <c r="BDB3" i="8" s="1"/>
  <c r="BDN3" i="8" a="1"/>
  <c r="BDN3" i="8" s="1"/>
  <c r="BDZ3" i="8" a="1"/>
  <c r="BDZ3" i="8" s="1"/>
  <c r="BEL3" i="8" a="1"/>
  <c r="BEL3" i="8" s="1"/>
  <c r="BEX3" i="8" a="1"/>
  <c r="BEX3" i="8" s="1"/>
  <c r="BFJ3" i="8" a="1"/>
  <c r="BFJ3" i="8" s="1"/>
  <c r="BFV3" i="8" a="1"/>
  <c r="BFV3" i="8" s="1"/>
  <c r="BGG3" i="8" a="1"/>
  <c r="BGG3" i="8" s="1"/>
  <c r="BKM3" i="8" a="1"/>
  <c r="BKM3" i="8" s="1"/>
  <c r="BKW3" i="8" a="1"/>
  <c r="BKW3" i="8" s="1"/>
  <c r="ABD3" i="8" a="1"/>
  <c r="ABD3" i="8" s="1"/>
  <c r="ABO3" i="8" a="1"/>
  <c r="ABO3" i="8" s="1"/>
  <c r="ACA3" i="8" a="1"/>
  <c r="ACA3" i="8" s="1"/>
  <c r="ACM3" i="8" a="1"/>
  <c r="ACM3" i="8" s="1"/>
  <c r="ACY3" i="8" a="1"/>
  <c r="ACY3" i="8" s="1"/>
  <c r="ADJ3" i="8" a="1"/>
  <c r="ADJ3" i="8" s="1"/>
  <c r="ADU3" i="8" a="1"/>
  <c r="ADU3" i="8" s="1"/>
  <c r="AEF3" i="8" a="1"/>
  <c r="AEF3" i="8" s="1"/>
  <c r="AER3" i="8" a="1"/>
  <c r="AER3" i="8" s="1"/>
  <c r="AFD3" i="8" a="1"/>
  <c r="AFD3" i="8" s="1"/>
  <c r="AFP3" i="8" a="1"/>
  <c r="AFP3" i="8" s="1"/>
  <c r="AGA3" i="8" a="1"/>
  <c r="AGA3" i="8" s="1"/>
  <c r="AGL3" i="8" a="1"/>
  <c r="AGL3" i="8" s="1"/>
  <c r="AGV3" i="8" a="1"/>
  <c r="AGV3" i="8" s="1"/>
  <c r="AHH3" i="8" a="1"/>
  <c r="AHH3" i="8" s="1"/>
  <c r="AHT3" i="8" a="1"/>
  <c r="AHT3" i="8" s="1"/>
  <c r="AIE3" i="8" a="1"/>
  <c r="AIE3" i="8" s="1"/>
  <c r="AIQ3" i="8" a="1"/>
  <c r="AIQ3" i="8" s="1"/>
  <c r="AJB3" i="8" a="1"/>
  <c r="AJB3" i="8" s="1"/>
  <c r="AJM3" i="8" a="1"/>
  <c r="AJM3" i="8" s="1"/>
  <c r="AJX3" i="8" a="1"/>
  <c r="AJX3" i="8" s="1"/>
  <c r="AKJ3" i="8" a="1"/>
  <c r="AKJ3" i="8" s="1"/>
  <c r="AKV3" i="8" a="1"/>
  <c r="AKV3" i="8" s="1"/>
  <c r="ALG3" i="8" a="1"/>
  <c r="ALG3" i="8" s="1"/>
  <c r="ALQ3" i="8" a="1"/>
  <c r="ALQ3" i="8" s="1"/>
  <c r="AMB3" i="8" a="1"/>
  <c r="AMB3" i="8" s="1"/>
  <c r="AMM3" i="8" a="1"/>
  <c r="AMM3" i="8" s="1"/>
  <c r="AMY3" i="8" a="1"/>
  <c r="AMY3" i="8" s="1"/>
  <c r="ANK3" i="8" a="1"/>
  <c r="ANK3" i="8" s="1"/>
  <c r="ANV3" i="8" a="1"/>
  <c r="ANV3" i="8" s="1"/>
  <c r="AOG3" i="8" a="1"/>
  <c r="AOG3" i="8" s="1"/>
  <c r="AOR3" i="8" a="1"/>
  <c r="AOR3" i="8" s="1"/>
  <c r="APB3" i="8" a="1"/>
  <c r="APB3" i="8" s="1"/>
  <c r="APN3" i="8" a="1"/>
  <c r="APN3" i="8" s="1"/>
  <c r="APZ3" i="8" a="1"/>
  <c r="APZ3" i="8" s="1"/>
  <c r="AQW3" i="8" a="1"/>
  <c r="AQW3" i="8" s="1"/>
  <c r="ARH3" i="8" a="1"/>
  <c r="ARH3" i="8" s="1"/>
  <c r="ARS3" i="8" a="1"/>
  <c r="ARS3" i="8" s="1"/>
  <c r="ASD3" i="8" a="1"/>
  <c r="ASD3" i="8" s="1"/>
  <c r="ASP3" i="8" a="1"/>
  <c r="ASP3" i="8" s="1"/>
  <c r="ATA3" i="8" a="1"/>
  <c r="ATA3" i="8" s="1"/>
  <c r="ATL3" i="8" a="1"/>
  <c r="ATL3" i="8" s="1"/>
  <c r="ATW3" i="8" a="1"/>
  <c r="ATW3" i="8" s="1"/>
  <c r="AUH3" i="8" a="1"/>
  <c r="AUH3" i="8" s="1"/>
  <c r="AUS3" i="8" a="1"/>
  <c r="AUS3" i="8" s="1"/>
  <c r="AVB3" i="8" a="1"/>
  <c r="AVB3" i="8" s="1"/>
  <c r="AVX3" i="8" a="1"/>
  <c r="AVX3" i="8" s="1"/>
  <c r="AWJ3" i="8" a="1"/>
  <c r="AWJ3" i="8" s="1"/>
  <c r="AWT3" i="8" a="1"/>
  <c r="AWT3" i="8" s="1"/>
  <c r="AXF3" i="8" a="1"/>
  <c r="AXF3" i="8" s="1"/>
  <c r="AXQ3" i="8" a="1"/>
  <c r="AXQ3" i="8" s="1"/>
  <c r="AYB3" i="8" a="1"/>
  <c r="AYB3" i="8" s="1"/>
  <c r="AYM3" i="8" a="1"/>
  <c r="AYM3" i="8" s="1"/>
  <c r="AYY3" i="8" a="1"/>
  <c r="AYY3" i="8" s="1"/>
  <c r="AZK3" i="8" a="1"/>
  <c r="AZK3" i="8" s="1"/>
  <c r="AZW3" i="8" a="1"/>
  <c r="AZW3" i="8" s="1"/>
  <c r="BAI3" i="8" a="1"/>
  <c r="BAI3" i="8" s="1"/>
  <c r="BAU3" i="8" a="1"/>
  <c r="BAU3" i="8" s="1"/>
  <c r="BBG3" i="8" a="1"/>
  <c r="BBG3" i="8" s="1"/>
  <c r="BBS3" i="8" a="1"/>
  <c r="BBS3" i="8" s="1"/>
  <c r="BCE3" i="8" a="1"/>
  <c r="BCE3" i="8" s="1"/>
  <c r="BCQ3" i="8" a="1"/>
  <c r="BCQ3" i="8" s="1"/>
  <c r="BDC3" i="8" a="1"/>
  <c r="BDC3" i="8" s="1"/>
  <c r="BDO3" i="8" a="1"/>
  <c r="BDO3" i="8" s="1"/>
  <c r="BEA3" i="8" a="1"/>
  <c r="BEA3" i="8" s="1"/>
  <c r="BEM3" i="8" a="1"/>
  <c r="BEM3" i="8" s="1"/>
  <c r="BEY3" i="8" a="1"/>
  <c r="BEY3" i="8" s="1"/>
  <c r="BFK3" i="8" a="1"/>
  <c r="BFK3" i="8" s="1"/>
  <c r="BFW3" i="8" a="1"/>
  <c r="BFW3" i="8" s="1"/>
  <c r="BGH3" i="8" a="1"/>
  <c r="BGH3" i="8" s="1"/>
  <c r="BGR3" i="8" a="1"/>
  <c r="BGR3" i="8" s="1"/>
  <c r="BHA3" i="8" a="1"/>
  <c r="BHA3" i="8" s="1"/>
  <c r="BHJ3" i="8" a="1"/>
  <c r="BHJ3" i="8" s="1"/>
  <c r="ABE3" i="8" a="1"/>
  <c r="ABE3" i="8" s="1"/>
  <c r="ABP3" i="8" a="1"/>
  <c r="ABP3" i="8" s="1"/>
  <c r="ACB3" i="8" a="1"/>
  <c r="ACB3" i="8" s="1"/>
  <c r="ACN3" i="8" a="1"/>
  <c r="ACN3" i="8" s="1"/>
  <c r="ACZ3" i="8" a="1"/>
  <c r="ACZ3" i="8" s="1"/>
  <c r="ADK3" i="8" a="1"/>
  <c r="ADK3" i="8" s="1"/>
  <c r="ADV3" i="8" a="1"/>
  <c r="ADV3" i="8" s="1"/>
  <c r="AEG3" i="8" a="1"/>
  <c r="AEG3" i="8" s="1"/>
  <c r="AES3" i="8" a="1"/>
  <c r="AES3" i="8" s="1"/>
  <c r="AFE3" i="8" a="1"/>
  <c r="AFE3" i="8" s="1"/>
  <c r="AFQ3" i="8" a="1"/>
  <c r="AFQ3" i="8" s="1"/>
  <c r="AGM3" i="8" a="1"/>
  <c r="AGM3" i="8" s="1"/>
  <c r="AGW3" i="8" a="1"/>
  <c r="AGW3" i="8" s="1"/>
  <c r="AHI3" i="8" a="1"/>
  <c r="AHI3" i="8" s="1"/>
  <c r="AHU3" i="8" a="1"/>
  <c r="AHU3" i="8" s="1"/>
  <c r="AIF3" i="8" a="1"/>
  <c r="AIF3" i="8" s="1"/>
  <c r="AIR3" i="8" a="1"/>
  <c r="AIR3" i="8" s="1"/>
  <c r="AJC3" i="8" a="1"/>
  <c r="AJC3" i="8" s="1"/>
  <c r="AJY3" i="8" a="1"/>
  <c r="AJY3" i="8" s="1"/>
  <c r="AKK3" i="8" a="1"/>
  <c r="AKK3" i="8" s="1"/>
  <c r="AKW3" i="8" a="1"/>
  <c r="AKW3" i="8" s="1"/>
  <c r="ALH3" i="8" a="1"/>
  <c r="ALH3" i="8" s="1"/>
  <c r="ALR3" i="8" a="1"/>
  <c r="ALR3" i="8" s="1"/>
  <c r="AMC3" i="8" a="1"/>
  <c r="AMC3" i="8" s="1"/>
  <c r="AMN3" i="8" a="1"/>
  <c r="AMN3" i="8" s="1"/>
  <c r="AMZ3" i="8" a="1"/>
  <c r="AMZ3" i="8" s="1"/>
  <c r="ANL3" i="8" a="1"/>
  <c r="ANL3" i="8" s="1"/>
  <c r="ANW3" i="8" a="1"/>
  <c r="ANW3" i="8" s="1"/>
  <c r="AOH3" i="8" a="1"/>
  <c r="AOH3" i="8" s="1"/>
  <c r="AOS3" i="8" a="1"/>
  <c r="AOS3" i="8" s="1"/>
  <c r="APC3" i="8" a="1"/>
  <c r="APC3" i="8" s="1"/>
  <c r="APO3" i="8" a="1"/>
  <c r="APO3" i="8" s="1"/>
  <c r="AQA3" i="8" a="1"/>
  <c r="AQA3" i="8" s="1"/>
  <c r="AQL3" i="8" a="1"/>
  <c r="AQL3" i="8" s="1"/>
  <c r="AQX3" i="8" a="1"/>
  <c r="AQX3" i="8" s="1"/>
  <c r="ARI3" i="8" a="1"/>
  <c r="ARI3" i="8" s="1"/>
  <c r="ART3" i="8" a="1"/>
  <c r="ART3" i="8" s="1"/>
  <c r="ASE3" i="8" a="1"/>
  <c r="ASE3" i="8" s="1"/>
  <c r="ASQ3" i="8" a="1"/>
  <c r="ASQ3" i="8" s="1"/>
  <c r="ATB3" i="8" a="1"/>
  <c r="ATB3" i="8" s="1"/>
  <c r="ATM3" i="8" a="1"/>
  <c r="ATM3" i="8" s="1"/>
  <c r="AUI3" i="8" a="1"/>
  <c r="AUI3" i="8" s="1"/>
  <c r="AUT3" i="8" a="1"/>
  <c r="AUT3" i="8" s="1"/>
  <c r="AVC3" i="8" a="1"/>
  <c r="AVC3" i="8" s="1"/>
  <c r="AVN3" i="8" a="1"/>
  <c r="AVN3" i="8" s="1"/>
  <c r="AVY3" i="8" a="1"/>
  <c r="AVY3" i="8" s="1"/>
  <c r="AWK3" i="8" a="1"/>
  <c r="AWK3" i="8" s="1"/>
  <c r="AWU3" i="8" a="1"/>
  <c r="AWU3" i="8" s="1"/>
  <c r="AXG3" i="8" a="1"/>
  <c r="AXG3" i="8" s="1"/>
  <c r="AYC3" i="8" a="1"/>
  <c r="AYC3" i="8" s="1"/>
  <c r="AYN3" i="8" a="1"/>
  <c r="AYN3" i="8" s="1"/>
  <c r="AYZ3" i="8" a="1"/>
  <c r="AYZ3" i="8" s="1"/>
  <c r="AZL3" i="8" a="1"/>
  <c r="AZL3" i="8" s="1"/>
  <c r="AZX3" i="8" a="1"/>
  <c r="AZX3" i="8" s="1"/>
  <c r="BAJ3" i="8" a="1"/>
  <c r="BAJ3" i="8" s="1"/>
  <c r="BAV3" i="8" a="1"/>
  <c r="BAV3" i="8" s="1"/>
  <c r="BBH3" i="8" a="1"/>
  <c r="BBH3" i="8" s="1"/>
  <c r="BBT3" i="8" a="1"/>
  <c r="BBT3" i="8" s="1"/>
  <c r="BCF3" i="8" a="1"/>
  <c r="BCF3" i="8" s="1"/>
  <c r="BCR3" i="8" a="1"/>
  <c r="BCR3" i="8" s="1"/>
  <c r="BDD3" i="8" a="1"/>
  <c r="BDD3" i="8" s="1"/>
  <c r="ABQ3" i="8" a="1"/>
  <c r="ABQ3" i="8" s="1"/>
  <c r="ACC3" i="8" a="1"/>
  <c r="ACC3" i="8" s="1"/>
  <c r="ACO3" i="8" a="1"/>
  <c r="ACO3" i="8" s="1"/>
  <c r="ADA3" i="8" a="1"/>
  <c r="ADA3" i="8" s="1"/>
  <c r="ADL3" i="8" a="1"/>
  <c r="ADL3" i="8" s="1"/>
  <c r="ADW3" i="8" a="1"/>
  <c r="ADW3" i="8" s="1"/>
  <c r="AEH3" i="8" a="1"/>
  <c r="AEH3" i="8" s="1"/>
  <c r="AET3" i="8" a="1"/>
  <c r="AET3" i="8" s="1"/>
  <c r="AFF3" i="8" a="1"/>
  <c r="AFF3" i="8" s="1"/>
  <c r="AFR3" i="8" a="1"/>
  <c r="AFR3" i="8" s="1"/>
  <c r="AGB3" i="8" a="1"/>
  <c r="AGB3" i="8" s="1"/>
  <c r="AGX3" i="8" a="1"/>
  <c r="AGX3" i="8" s="1"/>
  <c r="AHJ3" i="8" a="1"/>
  <c r="AHJ3" i="8" s="1"/>
  <c r="AHV3" i="8" a="1"/>
  <c r="AHV3" i="8" s="1"/>
  <c r="AIG3" i="8" a="1"/>
  <c r="AIG3" i="8" s="1"/>
  <c r="AIS3" i="8" a="1"/>
  <c r="AIS3" i="8" s="1"/>
  <c r="AJD3" i="8" a="1"/>
  <c r="AJD3" i="8" s="1"/>
  <c r="AJN3" i="8" a="1"/>
  <c r="AJN3" i="8" s="1"/>
  <c r="AJZ3" i="8" a="1"/>
  <c r="AJZ3" i="8" s="1"/>
  <c r="AKL3" i="8" a="1"/>
  <c r="AKL3" i="8" s="1"/>
  <c r="ALI3" i="8" a="1"/>
  <c r="ALI3" i="8" s="1"/>
  <c r="ALS3" i="8" a="1"/>
  <c r="ALS3" i="8" s="1"/>
  <c r="AMD3" i="8" a="1"/>
  <c r="AMD3" i="8" s="1"/>
  <c r="AMO3" i="8" a="1"/>
  <c r="AMO3" i="8" s="1"/>
  <c r="ANA3" i="8" a="1"/>
  <c r="ANA3" i="8" s="1"/>
  <c r="ANM3" i="8" a="1"/>
  <c r="ANM3" i="8" s="1"/>
  <c r="ANX3" i="8" a="1"/>
  <c r="ANX3" i="8" s="1"/>
  <c r="AOI3" i="8" a="1"/>
  <c r="AOI3" i="8" s="1"/>
  <c r="AOT3" i="8" a="1"/>
  <c r="AOT3" i="8" s="1"/>
  <c r="APD3" i="8" a="1"/>
  <c r="APD3" i="8" s="1"/>
  <c r="APP3" i="8" a="1"/>
  <c r="APP3" i="8" s="1"/>
  <c r="AQB3" i="8" a="1"/>
  <c r="AQB3" i="8" s="1"/>
  <c r="AQM3" i="8" a="1"/>
  <c r="AQM3" i="8" s="1"/>
  <c r="AQY3" i="8" a="1"/>
  <c r="AQY3" i="8" s="1"/>
  <c r="ARJ3" i="8" a="1"/>
  <c r="ARJ3" i="8" s="1"/>
  <c r="ARU3" i="8" a="1"/>
  <c r="ARU3" i="8" s="1"/>
  <c r="ASF3" i="8" a="1"/>
  <c r="ASF3" i="8" s="1"/>
  <c r="ASR3" i="8" a="1"/>
  <c r="ASR3" i="8" s="1"/>
  <c r="ATC3" i="8" a="1"/>
  <c r="ATC3" i="8" s="1"/>
  <c r="ATN3" i="8" a="1"/>
  <c r="ATN3" i="8" s="1"/>
  <c r="ATX3" i="8" a="1"/>
  <c r="ATX3" i="8" s="1"/>
  <c r="AUJ3" i="8" a="1"/>
  <c r="AUJ3" i="8" s="1"/>
  <c r="AUU3" i="8" a="1"/>
  <c r="AUU3" i="8" s="1"/>
  <c r="AVD3" i="8" a="1"/>
  <c r="AVD3" i="8" s="1"/>
  <c r="AVO3" i="8" a="1"/>
  <c r="AVO3" i="8" s="1"/>
  <c r="AVZ3" i="8" a="1"/>
  <c r="AVZ3" i="8" s="1"/>
  <c r="AWV3" i="8" a="1"/>
  <c r="AWV3" i="8" s="1"/>
  <c r="AXH3" i="8" a="1"/>
  <c r="AXH3" i="8" s="1"/>
  <c r="AXR3" i="8" a="1"/>
  <c r="AXR3" i="8" s="1"/>
  <c r="AYD3" i="8" a="1"/>
  <c r="AYD3" i="8" s="1"/>
  <c r="AYO3" i="8" a="1"/>
  <c r="AYO3" i="8" s="1"/>
  <c r="AZA3" i="8" a="1"/>
  <c r="AZA3" i="8" s="1"/>
  <c r="AZM3" i="8" a="1"/>
  <c r="AZM3" i="8" s="1"/>
  <c r="AZY3" i="8" a="1"/>
  <c r="AZY3" i="8" s="1"/>
  <c r="BAK3" i="8" a="1"/>
  <c r="BAK3" i="8" s="1"/>
  <c r="BAW3" i="8" a="1"/>
  <c r="BAW3" i="8" s="1"/>
  <c r="ABF3" i="8" a="1"/>
  <c r="ABF3" i="8" s="1"/>
  <c r="ABR3" i="8" a="1"/>
  <c r="ABR3" i="8" s="1"/>
  <c r="ACD3" i="8" a="1"/>
  <c r="ACD3" i="8" s="1"/>
  <c r="ACP3" i="8" a="1"/>
  <c r="ACP3" i="8" s="1"/>
  <c r="ADM3" i="8" a="1"/>
  <c r="ADM3" i="8" s="1"/>
  <c r="ADX3" i="8" a="1"/>
  <c r="ADX3" i="8" s="1"/>
  <c r="AEI3" i="8" a="1"/>
  <c r="AEI3" i="8" s="1"/>
  <c r="AEU3" i="8" a="1"/>
  <c r="AEU3" i="8" s="1"/>
  <c r="AFG3" i="8" a="1"/>
  <c r="AFG3" i="8" s="1"/>
  <c r="AFS3" i="8" a="1"/>
  <c r="AFS3" i="8" s="1"/>
  <c r="AGC3" i="8" a="1"/>
  <c r="AGC3" i="8" s="1"/>
  <c r="AGN3" i="8" a="1"/>
  <c r="AGN3" i="8" s="1"/>
  <c r="AGY3" i="8" a="1"/>
  <c r="AGY3" i="8" s="1"/>
  <c r="AHK3" i="8" a="1"/>
  <c r="AHK3" i="8" s="1"/>
  <c r="AHW3" i="8" a="1"/>
  <c r="AHW3" i="8" s="1"/>
  <c r="AIH3" i="8" a="1"/>
  <c r="AIH3" i="8" s="1"/>
  <c r="AIT3" i="8" a="1"/>
  <c r="AIT3" i="8" s="1"/>
  <c r="AJE3" i="8" a="1"/>
  <c r="AJE3" i="8" s="1"/>
  <c r="AJO3" i="8" a="1"/>
  <c r="AJO3" i="8" s="1"/>
  <c r="AKA3" i="8" a="1"/>
  <c r="AKA3" i="8" s="1"/>
  <c r="AKM3" i="8" a="1"/>
  <c r="AKM3" i="8" s="1"/>
  <c r="AKX3" i="8" a="1"/>
  <c r="AKX3" i="8" s="1"/>
  <c r="ALT3" i="8" a="1"/>
  <c r="ALT3" i="8" s="1"/>
  <c r="AME3" i="8" a="1"/>
  <c r="AME3" i="8" s="1"/>
  <c r="AMP3" i="8" a="1"/>
  <c r="AMP3" i="8" s="1"/>
  <c r="ANB3" i="8" a="1"/>
  <c r="ANB3" i="8" s="1"/>
  <c r="ANN3" i="8" a="1"/>
  <c r="ANN3" i="8" s="1"/>
  <c r="ANY3" i="8" a="1"/>
  <c r="ANY3" i="8" s="1"/>
  <c r="AOU3" i="8" a="1"/>
  <c r="AOU3" i="8" s="1"/>
  <c r="APE3" i="8" a="1"/>
  <c r="APE3" i="8" s="1"/>
  <c r="APQ3" i="8" a="1"/>
  <c r="APQ3" i="8" s="1"/>
  <c r="AQC3" i="8" a="1"/>
  <c r="AQC3" i="8" s="1"/>
  <c r="AQN3" i="8" a="1"/>
  <c r="AQN3" i="8" s="1"/>
  <c r="AQZ3" i="8" a="1"/>
  <c r="AQZ3" i="8" s="1"/>
  <c r="ARK3" i="8" a="1"/>
  <c r="ARK3" i="8" s="1"/>
  <c r="ASG3" i="8" a="1"/>
  <c r="ASG3" i="8" s="1"/>
  <c r="ASS3" i="8" a="1"/>
  <c r="ASS3" i="8" s="1"/>
  <c r="ATD3" i="8" a="1"/>
  <c r="ATD3" i="8" s="1"/>
  <c r="ATO3" i="8" a="1"/>
  <c r="ATO3" i="8" s="1"/>
  <c r="ATY3" i="8" a="1"/>
  <c r="ATY3" i="8" s="1"/>
  <c r="AUK3" i="8" a="1"/>
  <c r="AUK3" i="8" s="1"/>
  <c r="AVE3" i="8" a="1"/>
  <c r="AVE3" i="8" s="1"/>
  <c r="AVP3" i="8" a="1"/>
  <c r="AVP3" i="8" s="1"/>
  <c r="AWA3" i="8" a="1"/>
  <c r="AWA3" i="8" s="1"/>
  <c r="AWL3" i="8" a="1"/>
  <c r="AWL3" i="8" s="1"/>
  <c r="AWW3" i="8" a="1"/>
  <c r="AWW3" i="8" s="1"/>
  <c r="AXI3" i="8" a="1"/>
  <c r="AXI3" i="8" s="1"/>
  <c r="AXS3" i="8" a="1"/>
  <c r="AXS3" i="8" s="1"/>
  <c r="AYE3" i="8" a="1"/>
  <c r="AYE3" i="8" s="1"/>
  <c r="AYP3" i="8" a="1"/>
  <c r="AYP3" i="8" s="1"/>
  <c r="AZB3" i="8" a="1"/>
  <c r="AZB3" i="8" s="1"/>
  <c r="AZN3" i="8" a="1"/>
  <c r="AZN3" i="8" s="1"/>
  <c r="AZZ3" i="8" a="1"/>
  <c r="AZZ3" i="8" s="1"/>
  <c r="BAL3" i="8" a="1"/>
  <c r="BAL3" i="8" s="1"/>
  <c r="BAX3" i="8" a="1"/>
  <c r="BAX3" i="8" s="1"/>
  <c r="BBJ3" i="8" a="1"/>
  <c r="BBJ3" i="8" s="1"/>
  <c r="BBV3" i="8" a="1"/>
  <c r="BBV3" i="8" s="1"/>
  <c r="BCH3" i="8" a="1"/>
  <c r="BCH3" i="8" s="1"/>
  <c r="BCT3" i="8" a="1"/>
  <c r="BCT3" i="8" s="1"/>
  <c r="BDF3" i="8" a="1"/>
  <c r="BDF3" i="8" s="1"/>
  <c r="BDR3" i="8" a="1"/>
  <c r="BDR3" i="8" s="1"/>
  <c r="BED3" i="8" a="1"/>
  <c r="BED3" i="8" s="1"/>
  <c r="BEP3" i="8" a="1"/>
  <c r="BEP3" i="8" s="1"/>
  <c r="BFB3" i="8" a="1"/>
  <c r="BFB3" i="8" s="1"/>
  <c r="BFN3" i="8" a="1"/>
  <c r="BFN3" i="8" s="1"/>
  <c r="BFZ3" i="8" a="1"/>
  <c r="BFZ3" i="8" s="1"/>
  <c r="BGK3" i="8" a="1"/>
  <c r="BGK3" i="8" s="1"/>
  <c r="ABG3" i="8" a="1"/>
  <c r="ABG3" i="8" s="1"/>
  <c r="ABS3" i="8" a="1"/>
  <c r="ABS3" i="8" s="1"/>
  <c r="ACE3" i="8" a="1"/>
  <c r="ACE3" i="8" s="1"/>
  <c r="ACQ3" i="8" a="1"/>
  <c r="ACQ3" i="8" s="1"/>
  <c r="ADB3" i="8" a="1"/>
  <c r="ADB3" i="8" s="1"/>
  <c r="ADY3" i="8" a="1"/>
  <c r="ADY3" i="8" s="1"/>
  <c r="AEJ3" i="8" a="1"/>
  <c r="AEJ3" i="8" s="1"/>
  <c r="AEV3" i="8" a="1"/>
  <c r="AEV3" i="8" s="1"/>
  <c r="AFH3" i="8" a="1"/>
  <c r="AFH3" i="8" s="1"/>
  <c r="AFT3" i="8" a="1"/>
  <c r="AFT3" i="8" s="1"/>
  <c r="AGD3" i="8" a="1"/>
  <c r="AGD3" i="8" s="1"/>
  <c r="AGO3" i="8" a="1"/>
  <c r="AGO3" i="8" s="1"/>
  <c r="AGZ3" i="8" a="1"/>
  <c r="AGZ3" i="8" s="1"/>
  <c r="AHL3" i="8" a="1"/>
  <c r="AHL3" i="8" s="1"/>
  <c r="AHX3" i="8" a="1"/>
  <c r="AHX3" i="8" s="1"/>
  <c r="AII3" i="8" a="1"/>
  <c r="AII3" i="8" s="1"/>
  <c r="AIU3" i="8" a="1"/>
  <c r="AIU3" i="8" s="1"/>
  <c r="AJF3" i="8" a="1"/>
  <c r="AJF3" i="8" s="1"/>
  <c r="AJP3" i="8" a="1"/>
  <c r="AJP3" i="8" s="1"/>
  <c r="AKB3" i="8" a="1"/>
  <c r="AKB3" i="8" s="1"/>
  <c r="AKN3" i="8" a="1"/>
  <c r="AKN3" i="8" s="1"/>
  <c r="AKY3" i="8" a="1"/>
  <c r="AKY3" i="8" s="1"/>
  <c r="ALJ3" i="8" a="1"/>
  <c r="ALJ3" i="8" s="1"/>
  <c r="ALU3" i="8" a="1"/>
  <c r="ALU3" i="8" s="1"/>
  <c r="AMF3" i="8" a="1"/>
  <c r="AMF3" i="8" s="1"/>
  <c r="AMQ3" i="8" a="1"/>
  <c r="AMQ3" i="8" s="1"/>
  <c r="ANC3" i="8" a="1"/>
  <c r="ANC3" i="8" s="1"/>
  <c r="ANO3" i="8" a="1"/>
  <c r="ANO3" i="8" s="1"/>
  <c r="ANZ3" i="8" a="1"/>
  <c r="ANZ3" i="8" s="1"/>
  <c r="AOJ3" i="8" a="1"/>
  <c r="AOJ3" i="8" s="1"/>
  <c r="APF3" i="8" a="1"/>
  <c r="APF3" i="8" s="1"/>
  <c r="APR3" i="8" a="1"/>
  <c r="APR3" i="8" s="1"/>
  <c r="AQD3" i="8" a="1"/>
  <c r="AQD3" i="8" s="1"/>
  <c r="AQO3" i="8" a="1"/>
  <c r="AQO3" i="8" s="1"/>
  <c r="ARA3" i="8" a="1"/>
  <c r="ARA3" i="8" s="1"/>
  <c r="ARL3" i="8" a="1"/>
  <c r="ARL3" i="8" s="1"/>
  <c r="ARV3" i="8" a="1"/>
  <c r="ARV3" i="8" s="1"/>
  <c r="ASH3" i="8" a="1"/>
  <c r="ASH3" i="8" s="1"/>
  <c r="ATE3" i="8" a="1"/>
  <c r="ATE3" i="8" s="1"/>
  <c r="ATP3" i="8" a="1"/>
  <c r="ATP3" i="8" s="1"/>
  <c r="ATZ3" i="8" a="1"/>
  <c r="ATZ3" i="8" s="1"/>
  <c r="AUL3" i="8" a="1"/>
  <c r="AUL3" i="8" s="1"/>
  <c r="AUV3" i="8" a="1"/>
  <c r="AUV3" i="8" s="1"/>
  <c r="AVF3" i="8" a="1"/>
  <c r="AVF3" i="8" s="1"/>
  <c r="AVQ3" i="8" a="1"/>
  <c r="AVQ3" i="8" s="1"/>
  <c r="AWB3" i="8" a="1"/>
  <c r="AWB3" i="8" s="1"/>
  <c r="AWM3" i="8" a="1"/>
  <c r="AWM3" i="8" s="1"/>
  <c r="AWX3" i="8" a="1"/>
  <c r="AWX3" i="8" s="1"/>
  <c r="AXT3" i="8" a="1"/>
  <c r="AXT3" i="8" s="1"/>
  <c r="AYF3" i="8" a="1"/>
  <c r="AYF3" i="8" s="1"/>
  <c r="AYQ3" i="8" a="1"/>
  <c r="AYQ3" i="8" s="1"/>
  <c r="AZC3" i="8" a="1"/>
  <c r="AZC3" i="8" s="1"/>
  <c r="AZO3" i="8" a="1"/>
  <c r="AZO3" i="8" s="1"/>
  <c r="BAA3" i="8" a="1"/>
  <c r="BAA3" i="8" s="1"/>
  <c r="BAM3" i="8" a="1"/>
  <c r="BAM3" i="8" s="1"/>
  <c r="BAY3" i="8" a="1"/>
  <c r="BAY3" i="8" s="1"/>
  <c r="BBK3" i="8" a="1"/>
  <c r="BBK3" i="8" s="1"/>
  <c r="BBW3" i="8" a="1"/>
  <c r="BBW3" i="8" s="1"/>
  <c r="BCI3" i="8" a="1"/>
  <c r="BCI3" i="8" s="1"/>
  <c r="BCU3" i="8" a="1"/>
  <c r="BCU3" i="8" s="1"/>
  <c r="BDG3" i="8" a="1"/>
  <c r="BDG3" i="8" s="1"/>
  <c r="BDS3" i="8" a="1"/>
  <c r="BDS3" i="8" s="1"/>
  <c r="BEE3" i="8" a="1"/>
  <c r="BEE3" i="8" s="1"/>
  <c r="BEQ3" i="8" a="1"/>
  <c r="BEQ3" i="8" s="1"/>
  <c r="BFC3" i="8" a="1"/>
  <c r="BFC3" i="8" s="1"/>
  <c r="BFO3" i="8" a="1"/>
  <c r="BFO3" i="8" s="1"/>
  <c r="BGL3" i="8" a="1"/>
  <c r="BGL3" i="8" s="1"/>
  <c r="BGV3" i="8" a="1"/>
  <c r="BGV3" i="8" s="1"/>
  <c r="BHN3" i="8" a="1"/>
  <c r="BHN3" i="8" s="1"/>
  <c r="BIF3" i="8" a="1"/>
  <c r="BIF3" i="8" s="1"/>
  <c r="BIX3" i="8" a="1"/>
  <c r="BIX3" i="8" s="1"/>
  <c r="BJP3" i="8" a="1"/>
  <c r="BJP3" i="8" s="1"/>
  <c r="ABH3" i="8" a="1"/>
  <c r="ABH3" i="8" s="1"/>
  <c r="ABT3" i="8" a="1"/>
  <c r="ABT3" i="8" s="1"/>
  <c r="ACF3" i="8" a="1"/>
  <c r="ACF3" i="8" s="1"/>
  <c r="ACR3" i="8" a="1"/>
  <c r="ACR3" i="8" s="1"/>
  <c r="ADC3" i="8" a="1"/>
  <c r="ADC3" i="8" s="1"/>
  <c r="ADN3" i="8" a="1"/>
  <c r="ADN3" i="8" s="1"/>
  <c r="AEK3" i="8" a="1"/>
  <c r="AEK3" i="8" s="1"/>
  <c r="AEW3" i="8" a="1"/>
  <c r="AEW3" i="8" s="1"/>
  <c r="AFI3" i="8" a="1"/>
  <c r="AFI3" i="8" s="1"/>
  <c r="AFU3" i="8" a="1"/>
  <c r="AFU3" i="8" s="1"/>
  <c r="AGE3" i="8" a="1"/>
  <c r="AGE3" i="8" s="1"/>
  <c r="AGP3" i="8" a="1"/>
  <c r="AGP3" i="8" s="1"/>
  <c r="AHA3" i="8" a="1"/>
  <c r="AHA3" i="8" s="1"/>
  <c r="AHM3" i="8" a="1"/>
  <c r="AHM3" i="8" s="1"/>
  <c r="AHY3" i="8" a="1"/>
  <c r="AHY3" i="8" s="1"/>
  <c r="AIJ3" i="8" a="1"/>
  <c r="AIJ3" i="8" s="1"/>
  <c r="AJG3" i="8" a="1"/>
  <c r="AJG3" i="8" s="1"/>
  <c r="AJQ3" i="8" a="1"/>
  <c r="AJQ3" i="8" s="1"/>
  <c r="AKC3" i="8" a="1"/>
  <c r="AKC3" i="8" s="1"/>
  <c r="AKO3" i="8" a="1"/>
  <c r="AKO3" i="8" s="1"/>
  <c r="AKZ3" i="8" a="1"/>
  <c r="AKZ3" i="8" s="1"/>
  <c r="ALK3" i="8" a="1"/>
  <c r="ALK3" i="8" s="1"/>
  <c r="ALV3" i="8" a="1"/>
  <c r="ALV3" i="8" s="1"/>
  <c r="AMG3" i="8" a="1"/>
  <c r="AMG3" i="8" s="1"/>
  <c r="AMR3" i="8" a="1"/>
  <c r="AMR3" i="8" s="1"/>
  <c r="AND3" i="8" a="1"/>
  <c r="AND3" i="8" s="1"/>
  <c r="ANP3" i="8" a="1"/>
  <c r="ANP3" i="8" s="1"/>
  <c r="AOA3" i="8" a="1"/>
  <c r="AOA3" i="8" s="1"/>
  <c r="AOK3" i="8" a="1"/>
  <c r="AOK3" i="8" s="1"/>
  <c r="AOV3" i="8" a="1"/>
  <c r="AOV3" i="8" s="1"/>
  <c r="APG3" i="8" a="1"/>
  <c r="APG3" i="8" s="1"/>
  <c r="APS3" i="8" a="1"/>
  <c r="APS3" i="8" s="1"/>
  <c r="AQE3" i="8" a="1"/>
  <c r="AQE3" i="8" s="1"/>
  <c r="AQP3" i="8" a="1"/>
  <c r="AQP3" i="8" s="1"/>
  <c r="ARB3" i="8" a="1"/>
  <c r="ARB3" i="8" s="1"/>
  <c r="ARM3" i="8" a="1"/>
  <c r="ARM3" i="8" s="1"/>
  <c r="ARW3" i="8" a="1"/>
  <c r="ARW3" i="8" s="1"/>
  <c r="ASI3" i="8" a="1"/>
  <c r="ASI3" i="8" s="1"/>
  <c r="AST3" i="8" a="1"/>
  <c r="AST3" i="8" s="1"/>
  <c r="ATQ3" i="8" a="1"/>
  <c r="ATQ3" i="8" s="1"/>
  <c r="AUA3" i="8" a="1"/>
  <c r="AUA3" i="8" s="1"/>
  <c r="AUM3" i="8" a="1"/>
  <c r="AUM3" i="8" s="1"/>
  <c r="AUW3" i="8" a="1"/>
  <c r="AUW3" i="8" s="1"/>
  <c r="AVG3" i="8" a="1"/>
  <c r="AVG3" i="8" s="1"/>
  <c r="AVR3" i="8" a="1"/>
  <c r="AVR3" i="8" s="1"/>
  <c r="AWC3" i="8" a="1"/>
  <c r="AWC3" i="8" s="1"/>
  <c r="AWN3" i="8" a="1"/>
  <c r="AWN3" i="8" s="1"/>
  <c r="AWY3" i="8" a="1"/>
  <c r="AWY3" i="8" s="1"/>
  <c r="AXJ3" i="8" a="1"/>
  <c r="AXJ3" i="8" s="1"/>
  <c r="AXU3" i="8" a="1"/>
  <c r="AXU3" i="8" s="1"/>
  <c r="AYG3" i="8" a="1"/>
  <c r="AYG3" i="8" s="1"/>
  <c r="AYR3" i="8" a="1"/>
  <c r="AYR3" i="8" s="1"/>
  <c r="AZD3" i="8" a="1"/>
  <c r="AZD3" i="8" s="1"/>
  <c r="AZP3" i="8" a="1"/>
  <c r="AZP3" i="8" s="1"/>
  <c r="BAB3" i="8" a="1"/>
  <c r="BAB3" i="8" s="1"/>
  <c r="BAN3" i="8" a="1"/>
  <c r="BAN3" i="8" s="1"/>
  <c r="BAZ3" i="8" a="1"/>
  <c r="BAZ3" i="8" s="1"/>
  <c r="BBL3" i="8" a="1"/>
  <c r="BBL3" i="8" s="1"/>
  <c r="BBX3" i="8" a="1"/>
  <c r="BBX3" i="8" s="1"/>
  <c r="BCJ3" i="8" a="1"/>
  <c r="BCJ3" i="8" s="1"/>
  <c r="BCV3" i="8" a="1"/>
  <c r="BCV3" i="8" s="1"/>
  <c r="BDH3" i="8" a="1"/>
  <c r="BDH3" i="8" s="1"/>
  <c r="BDT3" i="8" a="1"/>
  <c r="BDT3" i="8" s="1"/>
  <c r="BEF3" i="8" a="1"/>
  <c r="BEF3" i="8" s="1"/>
  <c r="ABI3" i="8" a="1"/>
  <c r="ABI3" i="8" s="1"/>
  <c r="ABU3" i="8" a="1"/>
  <c r="ABU3" i="8" s="1"/>
  <c r="ACG3" i="8" a="1"/>
  <c r="ACG3" i="8" s="1"/>
  <c r="ACS3" i="8" a="1"/>
  <c r="ACS3" i="8" s="1"/>
  <c r="ADD3" i="8" a="1"/>
  <c r="ADD3" i="8" s="1"/>
  <c r="ADO3" i="8" a="1"/>
  <c r="ADO3" i="8" s="1"/>
  <c r="ADZ3" i="8" a="1"/>
  <c r="ADZ3" i="8" s="1"/>
  <c r="AEL3" i="8" a="1"/>
  <c r="AEL3" i="8" s="1"/>
  <c r="AEX3" i="8" a="1"/>
  <c r="AEX3" i="8" s="1"/>
  <c r="AFJ3" i="8" a="1"/>
  <c r="AFJ3" i="8" s="1"/>
  <c r="AGF3" i="8" a="1"/>
  <c r="AGF3" i="8" s="1"/>
  <c r="AGQ3" i="8" a="1"/>
  <c r="AGQ3" i="8" s="1"/>
  <c r="AHB3" i="8" a="1"/>
  <c r="AHB3" i="8" s="1"/>
  <c r="AHN3" i="8" a="1"/>
  <c r="AHN3" i="8" s="1"/>
  <c r="AHZ3" i="8" a="1"/>
  <c r="AHZ3" i="8" s="1"/>
  <c r="AIK3" i="8" a="1"/>
  <c r="AIK3" i="8" s="1"/>
  <c r="AIV3" i="8" a="1"/>
  <c r="AIV3" i="8" s="1"/>
  <c r="AJR3" i="8" a="1"/>
  <c r="AJR3" i="8" s="1"/>
  <c r="AKD3" i="8" a="1"/>
  <c r="AKD3" i="8" s="1"/>
  <c r="AKP3" i="8" a="1"/>
  <c r="AKP3" i="8" s="1"/>
  <c r="ALA3" i="8" a="1"/>
  <c r="ALA3" i="8" s="1"/>
  <c r="ALL3" i="8" a="1"/>
  <c r="ALL3" i="8" s="1"/>
  <c r="ALW3" i="8" a="1"/>
  <c r="ALW3" i="8" s="1"/>
  <c r="AMS3" i="8" a="1"/>
  <c r="AMS3" i="8" s="1"/>
  <c r="ANE3" i="8" a="1"/>
  <c r="ANE3" i="8" s="1"/>
  <c r="ANQ3" i="8" a="1"/>
  <c r="ANQ3" i="8" s="1"/>
  <c r="AOB3" i="8" a="1"/>
  <c r="AOB3" i="8" s="1"/>
  <c r="AOL3" i="8" a="1"/>
  <c r="AOL3" i="8" s="1"/>
  <c r="AOW3" i="8" a="1"/>
  <c r="AOW3" i="8" s="1"/>
  <c r="APH3" i="8" a="1"/>
  <c r="APH3" i="8" s="1"/>
  <c r="APT3" i="8" a="1"/>
  <c r="APT3" i="8" s="1"/>
  <c r="AQF3" i="8" a="1"/>
  <c r="AQF3" i="8" s="1"/>
  <c r="AQQ3" i="8" a="1"/>
  <c r="AQQ3" i="8" s="1"/>
  <c r="ARC3" i="8" a="1"/>
  <c r="ARC3" i="8" s="1"/>
  <c r="ARN3" i="8" a="1"/>
  <c r="ARN3" i="8" s="1"/>
  <c r="ARX3" i="8" a="1"/>
  <c r="ARX3" i="8" s="1"/>
  <c r="ASJ3" i="8" a="1"/>
  <c r="ASJ3" i="8" s="1"/>
  <c r="ASU3" i="8" a="1"/>
  <c r="ASU3" i="8" s="1"/>
  <c r="ATF3" i="8" a="1"/>
  <c r="ATF3" i="8" s="1"/>
  <c r="AUB3" i="8" a="1"/>
  <c r="AUB3" i="8" s="1"/>
  <c r="AUN3" i="8" a="1"/>
  <c r="AUN3" i="8" s="1"/>
  <c r="AVH3" i="8" a="1"/>
  <c r="AVH3" i="8" s="1"/>
  <c r="AVS3" i="8" a="1"/>
  <c r="AVS3" i="8" s="1"/>
  <c r="AWD3" i="8" a="1"/>
  <c r="AWD3" i="8" s="1"/>
  <c r="AWO3" i="8" a="1"/>
  <c r="AWO3" i="8" s="1"/>
  <c r="AWZ3" i="8" a="1"/>
  <c r="AWZ3" i="8" s="1"/>
  <c r="AXK3" i="8" a="1"/>
  <c r="AXK3" i="8" s="1"/>
  <c r="AXV3" i="8" a="1"/>
  <c r="AXV3" i="8" s="1"/>
  <c r="AYS3" i="8" a="1"/>
  <c r="AYS3" i="8" s="1"/>
  <c r="AZE3" i="8" a="1"/>
  <c r="AZE3" i="8" s="1"/>
  <c r="AZQ3" i="8" a="1"/>
  <c r="AZQ3" i="8" s="1"/>
  <c r="BAC3" i="8" a="1"/>
  <c r="BAC3" i="8" s="1"/>
  <c r="BAO3" i="8" a="1"/>
  <c r="BAO3" i="8" s="1"/>
  <c r="BBA3" i="8" a="1"/>
  <c r="BBA3" i="8" s="1"/>
  <c r="BBM3" i="8" a="1"/>
  <c r="BBM3" i="8" s="1"/>
  <c r="BBY3" i="8" a="1"/>
  <c r="BBY3" i="8" s="1"/>
  <c r="BCK3" i="8" a="1"/>
  <c r="BCK3" i="8" s="1"/>
  <c r="BCW3" i="8" a="1"/>
  <c r="BCW3" i="8" s="1"/>
  <c r="BDI3" i="8" a="1"/>
  <c r="BDI3" i="8" s="1"/>
  <c r="BDU3" i="8" a="1"/>
  <c r="BDU3" i="8" s="1"/>
  <c r="BEG3" i="8" a="1"/>
  <c r="BEG3" i="8" s="1"/>
  <c r="BES3" i="8" a="1"/>
  <c r="BES3" i="8" s="1"/>
  <c r="BFE3" i="8" a="1"/>
  <c r="BFE3" i="8" s="1"/>
  <c r="BFQ3" i="8" a="1"/>
  <c r="BFQ3" i="8" s="1"/>
  <c r="BGB3" i="8" a="1"/>
  <c r="BGB3" i="8" s="1"/>
  <c r="BGN3" i="8" a="1"/>
  <c r="BGN3" i="8" s="1"/>
  <c r="BHF3" i="8" a="1"/>
  <c r="BHF3" i="8" s="1"/>
  <c r="BHX3" i="8" a="1"/>
  <c r="BHX3" i="8" s="1"/>
  <c r="BIP3" i="8" a="1"/>
  <c r="BIP3" i="8" s="1"/>
  <c r="BJH3" i="8" a="1"/>
  <c r="BJH3" i="8" s="1"/>
  <c r="BKS3" i="8" a="1"/>
  <c r="BKS3" i="8" s="1"/>
  <c r="ABJ3" i="8" a="1"/>
  <c r="ABJ3" i="8" s="1"/>
  <c r="ABV3" i="8" a="1"/>
  <c r="ABV3" i="8" s="1"/>
  <c r="ACH3" i="8" a="1"/>
  <c r="ACH3" i="8" s="1"/>
  <c r="ACT3" i="8" a="1"/>
  <c r="ACT3" i="8" s="1"/>
  <c r="ADE3" i="8" a="1"/>
  <c r="ADE3" i="8" s="1"/>
  <c r="ADP3" i="8" a="1"/>
  <c r="ADP3" i="8" s="1"/>
  <c r="AEA3" i="8" a="1"/>
  <c r="AEA3" i="8" s="1"/>
  <c r="AEM3" i="8" a="1"/>
  <c r="AEM3" i="8" s="1"/>
  <c r="AEY3" i="8" a="1"/>
  <c r="AEY3" i="8" s="1"/>
  <c r="AFK3" i="8" a="1"/>
  <c r="AFK3" i="8" s="1"/>
  <c r="AFV3" i="8" a="1"/>
  <c r="AFV3" i="8" s="1"/>
  <c r="AGG3" i="8" a="1"/>
  <c r="AGG3" i="8" s="1"/>
  <c r="AGR3" i="8" a="1"/>
  <c r="AGR3" i="8" s="1"/>
  <c r="AHC3" i="8" a="1"/>
  <c r="AHC3" i="8" s="1"/>
  <c r="AHO3" i="8" a="1"/>
  <c r="AHO3" i="8" s="1"/>
  <c r="AIA3" i="8" a="1"/>
  <c r="AIA3" i="8" s="1"/>
  <c r="AIL3" i="8" a="1"/>
  <c r="AIL3" i="8" s="1"/>
  <c r="AIW3" i="8" a="1"/>
  <c r="AIW3" i="8" s="1"/>
  <c r="AJH3" i="8" a="1"/>
  <c r="AJH3" i="8" s="1"/>
  <c r="AJS3" i="8" a="1"/>
  <c r="AJS3" i="8" s="1"/>
  <c r="AKE3" i="8" a="1"/>
  <c r="AKE3" i="8" s="1"/>
  <c r="AKQ3" i="8" a="1"/>
  <c r="AKQ3" i="8" s="1"/>
  <c r="ALB3" i="8" a="1"/>
  <c r="ALB3" i="8" s="1"/>
  <c r="ALM3" i="8" a="1"/>
  <c r="ALM3" i="8" s="1"/>
  <c r="ALX3" i="8" a="1"/>
  <c r="ALX3" i="8" s="1"/>
  <c r="AMH3" i="8" a="1"/>
  <c r="AMH3" i="8" s="1"/>
  <c r="AMT3" i="8" a="1"/>
  <c r="AMT3" i="8" s="1"/>
  <c r="ANF3" i="8" a="1"/>
  <c r="ANF3" i="8" s="1"/>
  <c r="AOC3" i="8" a="1"/>
  <c r="AOC3" i="8" s="1"/>
  <c r="AOM3" i="8" a="1"/>
  <c r="AOM3" i="8" s="1"/>
  <c r="AOX3" i="8" a="1"/>
  <c r="AOX3" i="8" s="1"/>
  <c r="API3" i="8" a="1"/>
  <c r="API3" i="8" s="1"/>
  <c r="APU3" i="8" a="1"/>
  <c r="APU3" i="8" s="1"/>
  <c r="AQG3" i="8" a="1"/>
  <c r="AQG3" i="8" s="1"/>
  <c r="AQR3" i="8" a="1"/>
  <c r="AQR3" i="8" s="1"/>
  <c r="ARO3" i="8" a="1"/>
  <c r="ARO3" i="8" s="1"/>
  <c r="ARY3" i="8" a="1"/>
  <c r="ARY3" i="8" s="1"/>
  <c r="ASK3" i="8" a="1"/>
  <c r="ASK3" i="8" s="1"/>
  <c r="ASV3" i="8" a="1"/>
  <c r="ASV3" i="8" s="1"/>
  <c r="ATG3" i="8" a="1"/>
  <c r="ATG3" i="8" s="1"/>
  <c r="ATR3" i="8" a="1"/>
  <c r="ATR3" i="8" s="1"/>
  <c r="AUC3" i="8" a="1"/>
  <c r="AUC3" i="8" s="1"/>
  <c r="AUO3" i="8" a="1"/>
  <c r="AUO3" i="8" s="1"/>
  <c r="AUX3" i="8" a="1"/>
  <c r="AUX3" i="8" s="1"/>
  <c r="AVI3" i="8" a="1"/>
  <c r="AVI3" i="8" s="1"/>
  <c r="AVT3" i="8" a="1"/>
  <c r="AVT3" i="8" s="1"/>
  <c r="AWE3" i="8" a="1"/>
  <c r="AWE3" i="8" s="1"/>
  <c r="AWP3" i="8" a="1"/>
  <c r="AWP3" i="8" s="1"/>
  <c r="AXA3" i="8" a="1"/>
  <c r="AXA3" i="8" s="1"/>
  <c r="AXL3" i="8" a="1"/>
  <c r="AXL3" i="8" s="1"/>
  <c r="AXW3" i="8" a="1"/>
  <c r="AXW3" i="8" s="1"/>
  <c r="AYH3" i="8" a="1"/>
  <c r="AYH3" i="8" s="1"/>
  <c r="AYT3" i="8" a="1"/>
  <c r="AYT3" i="8" s="1"/>
  <c r="AZF3" i="8" a="1"/>
  <c r="AZF3" i="8" s="1"/>
  <c r="AZR3" i="8" a="1"/>
  <c r="AZR3" i="8" s="1"/>
  <c r="BAD3" i="8" a="1"/>
  <c r="BAD3" i="8" s="1"/>
  <c r="BAP3" i="8" a="1"/>
  <c r="BAP3" i="8" s="1"/>
  <c r="BBB3" i="8" a="1"/>
  <c r="BBB3" i="8" s="1"/>
  <c r="BBN3" i="8" a="1"/>
  <c r="BBN3" i="8" s="1"/>
  <c r="BBZ3" i="8" a="1"/>
  <c r="BBZ3" i="8" s="1"/>
  <c r="BCL3" i="8" a="1"/>
  <c r="BCL3" i="8" s="1"/>
  <c r="BCX3" i="8" a="1"/>
  <c r="BCX3" i="8" s="1"/>
  <c r="BDJ3" i="8" a="1"/>
  <c r="BDJ3" i="8" s="1"/>
  <c r="BDV3" i="8" a="1"/>
  <c r="BDV3" i="8" s="1"/>
  <c r="BEH3" i="8" a="1"/>
  <c r="BEH3" i="8" s="1"/>
  <c r="BET3" i="8" a="1"/>
  <c r="BET3" i="8" s="1"/>
  <c r="BFF3" i="8" a="1"/>
  <c r="BFF3" i="8" s="1"/>
  <c r="BFR3" i="8" a="1"/>
  <c r="BFR3" i="8" s="1"/>
  <c r="BGC3" i="8" a="1"/>
  <c r="BGC3" i="8" s="1"/>
  <c r="AVV3" i="8" a="1"/>
  <c r="AVV3" i="8" s="1"/>
  <c r="BBE3" i="8" a="1"/>
  <c r="BBE3" i="8" s="1"/>
  <c r="BDQ3" i="8" a="1"/>
  <c r="BDQ3" i="8" s="1"/>
  <c r="BFI3" i="8" a="1"/>
  <c r="BFI3" i="8" s="1"/>
  <c r="BGM3" i="8" a="1"/>
  <c r="BGM3" i="8" s="1"/>
  <c r="BHC3" i="8" a="1"/>
  <c r="BHC3" i="8" s="1"/>
  <c r="BHQ3" i="8" a="1"/>
  <c r="BHQ3" i="8" s="1"/>
  <c r="BIC3" i="8" a="1"/>
  <c r="BIC3" i="8" s="1"/>
  <c r="BIO3" i="8" a="1"/>
  <c r="BIO3" i="8" s="1"/>
  <c r="BJA3" i="8" a="1"/>
  <c r="BJA3" i="8" s="1"/>
  <c r="BJM3" i="8" a="1"/>
  <c r="BJM3" i="8" s="1"/>
  <c r="BJY3" i="8" a="1"/>
  <c r="BJY3" i="8" s="1"/>
  <c r="BKJ3" i="8" a="1"/>
  <c r="BKJ3" i="8" s="1"/>
  <c r="BLE3" i="8" a="1"/>
  <c r="BLE3" i="8" s="1"/>
  <c r="BLN3" i="8" a="1"/>
  <c r="BLN3" i="8" s="1"/>
  <c r="BLX3" i="8" a="1"/>
  <c r="BLX3" i="8" s="1"/>
  <c r="BMG3" i="8" a="1"/>
  <c r="BMG3" i="8" s="1"/>
  <c r="BMX3" i="8" a="1"/>
  <c r="BMX3" i="8" s="1"/>
  <c r="BNF3" i="8" a="1"/>
  <c r="BNF3" i="8" s="1"/>
  <c r="BNX3" i="8" a="1"/>
  <c r="BNX3" i="8" s="1"/>
  <c r="BOE3" i="8" a="1"/>
  <c r="BOE3" i="8" s="1"/>
  <c r="BOX3" i="8" a="1"/>
  <c r="BOX3" i="8" s="1"/>
  <c r="BPE3" i="8" a="1"/>
  <c r="BPE3" i="8" s="1"/>
  <c r="BPW3" i="8" a="1"/>
  <c r="BPW3" i="8" s="1"/>
  <c r="BQE3" i="8" a="1"/>
  <c r="BQE3" i="8" s="1"/>
  <c r="BQV3" i="8" a="1"/>
  <c r="BQV3" i="8" s="1"/>
  <c r="BRE3" i="8" a="1"/>
  <c r="BRE3" i="8" s="1"/>
  <c r="BRL3" i="8" a="1"/>
  <c r="BRL3" i="8" s="1"/>
  <c r="BRU3" i="8" a="1"/>
  <c r="BRU3" i="8" s="1"/>
  <c r="BSL3" i="8" a="1"/>
  <c r="BSL3" i="8" s="1"/>
  <c r="BST3" i="8" a="1"/>
  <c r="BST3" i="8" s="1"/>
  <c r="BTL3" i="8" a="1"/>
  <c r="BTL3" i="8" s="1"/>
  <c r="BTS3" i="8" a="1"/>
  <c r="BTS3" i="8" s="1"/>
  <c r="BUL3" i="8" a="1"/>
  <c r="BUL3" i="8" s="1"/>
  <c r="BUS3" i="8" a="1"/>
  <c r="BUS3" i="8" s="1"/>
  <c r="BVK3" i="8" a="1"/>
  <c r="BVK3" i="8" s="1"/>
  <c r="BVS3" i="8" a="1"/>
  <c r="BVS3" i="8" s="1"/>
  <c r="BWJ3" i="8" a="1"/>
  <c r="BWJ3" i="8" s="1"/>
  <c r="BWS3" i="8" a="1"/>
  <c r="BWS3" i="8" s="1"/>
  <c r="BWZ3" i="8" a="1"/>
  <c r="BWZ3" i="8" s="1"/>
  <c r="BXI3" i="8" a="1"/>
  <c r="BXI3" i="8" s="1"/>
  <c r="BXZ3" i="8" a="1"/>
  <c r="BXZ3" i="8" s="1"/>
  <c r="BYH3" i="8" a="1"/>
  <c r="BYH3" i="8" s="1"/>
  <c r="BYN3" i="8" a="1"/>
  <c r="BYN3" i="8" s="1"/>
  <c r="BZA3" i="8" a="1"/>
  <c r="BZA3" i="8" s="1"/>
  <c r="BZU3" i="8" a="1"/>
  <c r="BZU3" i="8" s="1"/>
  <c r="CBA3" i="8" a="1"/>
  <c r="CBA3" i="8" s="1"/>
  <c r="CBJ3" i="8" a="1"/>
  <c r="CBJ3" i="8" s="1"/>
  <c r="CBS3" i="8" a="1"/>
  <c r="CBS3" i="8" s="1"/>
  <c r="CCJ3" i="8" a="1"/>
  <c r="CCJ3" i="8" s="1"/>
  <c r="CCR3" i="8" a="1"/>
  <c r="CCR3" i="8" s="1"/>
  <c r="CDJ3" i="8" a="1"/>
  <c r="CDJ3" i="8" s="1"/>
  <c r="CDR3" i="8" a="1"/>
  <c r="CDR3" i="8" s="1"/>
  <c r="CEA3" i="8" a="1"/>
  <c r="CEA3" i="8" s="1"/>
  <c r="CFA3" i="8" a="1"/>
  <c r="CFA3" i="8" s="1"/>
  <c r="CFQ3" i="8" a="1"/>
  <c r="CFQ3" i="8" s="1"/>
  <c r="CFY3" i="8" a="1"/>
  <c r="CFY3" i="8" s="1"/>
  <c r="CGQ3" i="8" a="1"/>
  <c r="CGQ3" i="8" s="1"/>
  <c r="AWH3" i="8" a="1"/>
  <c r="AWH3" i="8" s="1"/>
  <c r="BBI3" i="8" a="1"/>
  <c r="BBI3" i="8" s="1"/>
  <c r="BDY3" i="8" a="1"/>
  <c r="BDY3" i="8" s="1"/>
  <c r="BFL3" i="8" a="1"/>
  <c r="BFL3" i="8" s="1"/>
  <c r="BGO3" i="8" a="1"/>
  <c r="BGO3" i="8" s="1"/>
  <c r="BHD3" i="8" a="1"/>
  <c r="BHD3" i="8" s="1"/>
  <c r="BHR3" i="8" a="1"/>
  <c r="BHR3" i="8" s="1"/>
  <c r="BID3" i="8" a="1"/>
  <c r="BID3" i="8" s="1"/>
  <c r="BIQ3" i="8" a="1"/>
  <c r="BIQ3" i="8" s="1"/>
  <c r="BJB3" i="8" a="1"/>
  <c r="BJB3" i="8" s="1"/>
  <c r="BJN3" i="8" a="1"/>
  <c r="BJN3" i="8" s="1"/>
  <c r="BJZ3" i="8" a="1"/>
  <c r="BJZ3" i="8" s="1"/>
  <c r="BKV3" i="8" a="1"/>
  <c r="BKV3" i="8" s="1"/>
  <c r="BLF3" i="8" a="1"/>
  <c r="BLF3" i="8" s="1"/>
  <c r="BLO3" i="8" a="1"/>
  <c r="BLO3" i="8" s="1"/>
  <c r="BLY3" i="8" a="1"/>
  <c r="BLY3" i="8" s="1"/>
  <c r="BMH3" i="8" a="1"/>
  <c r="BMH3" i="8" s="1"/>
  <c r="BMQ3" i="8" a="1"/>
  <c r="BMQ3" i="8" s="1"/>
  <c r="BMY3" i="8" a="1"/>
  <c r="BMY3" i="8" s="1"/>
  <c r="BNP3" i="8" a="1"/>
  <c r="BNP3" i="8" s="1"/>
  <c r="BNY3" i="8" a="1"/>
  <c r="BNY3" i="8" s="1"/>
  <c r="BOF3" i="8" a="1"/>
  <c r="BOF3" i="8" s="1"/>
  <c r="BOO3" i="8" a="1"/>
  <c r="BOO3" i="8" s="1"/>
  <c r="BPF3" i="8" a="1"/>
  <c r="BPF3" i="8" s="1"/>
  <c r="BPN3" i="8" a="1"/>
  <c r="BPN3" i="8" s="1"/>
  <c r="BQF3" i="8" a="1"/>
  <c r="BQF3" i="8" s="1"/>
  <c r="BQM3" i="8" a="1"/>
  <c r="BQM3" i="8" s="1"/>
  <c r="BRF3" i="8" a="1"/>
  <c r="BRF3" i="8" s="1"/>
  <c r="BRM3" i="8" a="1"/>
  <c r="BRM3" i="8" s="1"/>
  <c r="BSE3" i="8" a="1"/>
  <c r="BSE3" i="8" s="1"/>
  <c r="BSM3" i="8" a="1"/>
  <c r="BSM3" i="8" s="1"/>
  <c r="BTD3" i="8" a="1"/>
  <c r="BTD3" i="8" s="1"/>
  <c r="BTM3" i="8" a="1"/>
  <c r="BTM3" i="8" s="1"/>
  <c r="BTT3" i="8" a="1"/>
  <c r="BTT3" i="8" s="1"/>
  <c r="BUC3" i="8" a="1"/>
  <c r="BUC3" i="8" s="1"/>
  <c r="BUT3" i="8" a="1"/>
  <c r="BUT3" i="8" s="1"/>
  <c r="BVB3" i="8" a="1"/>
  <c r="BVB3" i="8" s="1"/>
  <c r="BVT3" i="8" a="1"/>
  <c r="BVT3" i="8" s="1"/>
  <c r="BWA3" i="8" a="1"/>
  <c r="BWA3" i="8" s="1"/>
  <c r="BWT3" i="8" a="1"/>
  <c r="BWT3" i="8" s="1"/>
  <c r="BXA3" i="8" a="1"/>
  <c r="BXA3" i="8" s="1"/>
  <c r="BXS3" i="8" a="1"/>
  <c r="BXS3" i="8" s="1"/>
  <c r="BYA3" i="8" a="1"/>
  <c r="BYA3" i="8" s="1"/>
  <c r="BYU3" i="8" a="1"/>
  <c r="BYU3" i="8" s="1"/>
  <c r="BZH3" i="8" a="1"/>
  <c r="BZH3" i="8" s="1"/>
  <c r="BZO3" i="8" a="1"/>
  <c r="BZO3" i="8" s="1"/>
  <c r="CAC3" i="8" a="1"/>
  <c r="CAC3" i="8" s="1"/>
  <c r="CAK3" i="8" a="1"/>
  <c r="CAK3" i="8" s="1"/>
  <c r="CAT3" i="8" a="1"/>
  <c r="CAT3" i="8" s="1"/>
  <c r="CBB3" i="8" a="1"/>
  <c r="CBB3" i="8" s="1"/>
  <c r="CBT3" i="8" a="1"/>
  <c r="CBT3" i="8" s="1"/>
  <c r="CCB3" i="8" a="1"/>
  <c r="CCB3" i="8" s="1"/>
  <c r="CCS3" i="8" a="1"/>
  <c r="CCS3" i="8" s="1"/>
  <c r="CDB3" i="8" a="1"/>
  <c r="CDB3" i="8" s="1"/>
  <c r="CDK3" i="8" a="1"/>
  <c r="CDK3" i="8" s="1"/>
  <c r="CDS3" i="8" a="1"/>
  <c r="CDS3" i="8" s="1"/>
  <c r="AWS3" i="8" a="1"/>
  <c r="AWS3" i="8" s="1"/>
  <c r="BBQ3" i="8" a="1"/>
  <c r="BBQ3" i="8" s="1"/>
  <c r="BEB3" i="8" a="1"/>
  <c r="BEB3" i="8" s="1"/>
  <c r="BFM3" i="8" a="1"/>
  <c r="BFM3" i="8" s="1"/>
  <c r="BHE3" i="8" a="1"/>
  <c r="BHE3" i="8" s="1"/>
  <c r="BHS3" i="8" a="1"/>
  <c r="BHS3" i="8" s="1"/>
  <c r="BIE3" i="8" a="1"/>
  <c r="BIE3" i="8" s="1"/>
  <c r="BJC3" i="8" a="1"/>
  <c r="BJC3" i="8" s="1"/>
  <c r="BJO3" i="8" a="1"/>
  <c r="BJO3" i="8" s="1"/>
  <c r="BKA3" i="8" a="1"/>
  <c r="BKA3" i="8" s="1"/>
  <c r="BKK3" i="8" a="1"/>
  <c r="BKK3" i="8" s="1"/>
  <c r="BKX3" i="8" a="1"/>
  <c r="BKX3" i="8" s="1"/>
  <c r="BLG3" i="8" a="1"/>
  <c r="BLG3" i="8" s="1"/>
  <c r="BLP3" i="8" a="1"/>
  <c r="BLP3" i="8" s="1"/>
  <c r="BLZ3" i="8" a="1"/>
  <c r="BLZ3" i="8" s="1"/>
  <c r="BMI3" i="8" a="1"/>
  <c r="BMI3" i="8" s="1"/>
  <c r="BMZ3" i="8" a="1"/>
  <c r="BMZ3" i="8" s="1"/>
  <c r="BNG3" i="8" a="1"/>
  <c r="BNG3" i="8" s="1"/>
  <c r="BNZ3" i="8" a="1"/>
  <c r="BNZ3" i="8" s="1"/>
  <c r="BOG3" i="8" a="1"/>
  <c r="BOG3" i="8" s="1"/>
  <c r="BOY3" i="8" a="1"/>
  <c r="BOY3" i="8" s="1"/>
  <c r="BPG3" i="8" a="1"/>
  <c r="BPG3" i="8" s="1"/>
  <c r="BPX3" i="8" a="1"/>
  <c r="BPX3" i="8" s="1"/>
  <c r="BQG3" i="8" a="1"/>
  <c r="BQG3" i="8" s="1"/>
  <c r="BQN3" i="8" a="1"/>
  <c r="BQN3" i="8" s="1"/>
  <c r="BQW3" i="8" a="1"/>
  <c r="BQW3" i="8" s="1"/>
  <c r="BRN3" i="8" a="1"/>
  <c r="BRN3" i="8" s="1"/>
  <c r="BRV3" i="8" a="1"/>
  <c r="BRV3" i="8" s="1"/>
  <c r="BSN3" i="8" a="1"/>
  <c r="BSN3" i="8" s="1"/>
  <c r="BSU3" i="8" a="1"/>
  <c r="BSU3" i="8" s="1"/>
  <c r="BTN3" i="8" a="1"/>
  <c r="BTN3" i="8" s="1"/>
  <c r="BTU3" i="8" a="1"/>
  <c r="BTU3" i="8" s="1"/>
  <c r="BUM3" i="8" a="1"/>
  <c r="BUM3" i="8" s="1"/>
  <c r="BUU3" i="8" a="1"/>
  <c r="BUU3" i="8" s="1"/>
  <c r="BVL3" i="8" a="1"/>
  <c r="BVL3" i="8" s="1"/>
  <c r="BVU3" i="8" a="1"/>
  <c r="BVU3" i="8" s="1"/>
  <c r="BWB3" i="8" a="1"/>
  <c r="BWB3" i="8" s="1"/>
  <c r="BWK3" i="8" a="1"/>
  <c r="BWK3" i="8" s="1"/>
  <c r="BXB3" i="8" a="1"/>
  <c r="BXB3" i="8" s="1"/>
  <c r="BXJ3" i="8" a="1"/>
  <c r="BXJ3" i="8" s="1"/>
  <c r="BYB3" i="8" a="1"/>
  <c r="BYB3" i="8" s="1"/>
  <c r="BYI3" i="8" a="1"/>
  <c r="BYI3" i="8" s="1"/>
  <c r="BYO3" i="8" a="1"/>
  <c r="BYO3" i="8" s="1"/>
  <c r="BZB3" i="8" a="1"/>
  <c r="BZB3" i="8" s="1"/>
  <c r="BZV3" i="8" a="1"/>
  <c r="BZV3" i="8" s="1"/>
  <c r="CAD3" i="8" a="1"/>
  <c r="CAD3" i="8" s="1"/>
  <c r="CAL3" i="8" a="1"/>
  <c r="CAL3" i="8" s="1"/>
  <c r="CBK3" i="8" a="1"/>
  <c r="CBK3" i="8" s="1"/>
  <c r="CCK3" i="8" a="1"/>
  <c r="CCK3" i="8" s="1"/>
  <c r="CCT3" i="8" a="1"/>
  <c r="CCT3" i="8" s="1"/>
  <c r="CDL3" i="8" a="1"/>
  <c r="CDL3" i="8" s="1"/>
  <c r="CDT3" i="8" a="1"/>
  <c r="CDT3" i="8" s="1"/>
  <c r="CEC3" i="8" a="1"/>
  <c r="CEC3" i="8" s="1"/>
  <c r="CEK3" i="8" a="1"/>
  <c r="CEK3" i="8" s="1"/>
  <c r="CES3" i="8" a="1"/>
  <c r="CES3" i="8" s="1"/>
  <c r="CFB3" i="8" a="1"/>
  <c r="CFB3" i="8" s="1"/>
  <c r="CFS3" i="8" a="1"/>
  <c r="CFS3" i="8" s="1"/>
  <c r="CGA3" i="8" a="1"/>
  <c r="CGA3" i="8" s="1"/>
  <c r="CGJ3" i="8" a="1"/>
  <c r="CGJ3" i="8" s="1"/>
  <c r="CGS3" i="8" a="1"/>
  <c r="CGS3" i="8" s="1"/>
  <c r="AXD3" i="8" a="1"/>
  <c r="AXD3" i="8" s="1"/>
  <c r="BBU3" i="8" a="1"/>
  <c r="BBU3" i="8" s="1"/>
  <c r="BEC3" i="8" a="1"/>
  <c r="BEC3" i="8" s="1"/>
  <c r="BFP3" i="8" a="1"/>
  <c r="BFP3" i="8" s="1"/>
  <c r="BGQ3" i="8" a="1"/>
  <c r="BGQ3" i="8" s="1"/>
  <c r="BHG3" i="8" a="1"/>
  <c r="BHG3" i="8" s="1"/>
  <c r="BHT3" i="8" a="1"/>
  <c r="BHT3" i="8" s="1"/>
  <c r="BIG3" i="8" a="1"/>
  <c r="BIG3" i="8" s="1"/>
  <c r="BIR3" i="8" a="1"/>
  <c r="BIR3" i="8" s="1"/>
  <c r="BJD3" i="8" a="1"/>
  <c r="BJD3" i="8" s="1"/>
  <c r="BJQ3" i="8" a="1"/>
  <c r="BJQ3" i="8" s="1"/>
  <c r="BKL3" i="8" a="1"/>
  <c r="BKL3" i="8" s="1"/>
  <c r="BKY3" i="8" a="1"/>
  <c r="BKY3" i="8" s="1"/>
  <c r="BLH3" i="8" a="1"/>
  <c r="BLH3" i="8" s="1"/>
  <c r="BLQ3" i="8" a="1"/>
  <c r="BLQ3" i="8" s="1"/>
  <c r="BMA3" i="8" a="1"/>
  <c r="BMA3" i="8" s="1"/>
  <c r="BMJ3" i="8" a="1"/>
  <c r="BMJ3" i="8" s="1"/>
  <c r="BMR3" i="8" a="1"/>
  <c r="BMR3" i="8" s="1"/>
  <c r="BNA3" i="8" a="1"/>
  <c r="BNA3" i="8" s="1"/>
  <c r="BNH3" i="8" a="1"/>
  <c r="BNH3" i="8" s="1"/>
  <c r="BNQ3" i="8" a="1"/>
  <c r="BNQ3" i="8" s="1"/>
  <c r="BOH3" i="8" a="1"/>
  <c r="BOH3" i="8" s="1"/>
  <c r="BOP3" i="8" a="1"/>
  <c r="BOP3" i="8" s="1"/>
  <c r="BPH3" i="8" a="1"/>
  <c r="BPH3" i="8" s="1"/>
  <c r="BPO3" i="8" a="1"/>
  <c r="BPO3" i="8" s="1"/>
  <c r="BQH3" i="8" a="1"/>
  <c r="BQH3" i="8" s="1"/>
  <c r="BQO3" i="8" a="1"/>
  <c r="BQO3" i="8" s="1"/>
  <c r="BRG3" i="8" a="1"/>
  <c r="BRG3" i="8" s="1"/>
  <c r="BRO3" i="8" a="1"/>
  <c r="BRO3" i="8" s="1"/>
  <c r="BSF3" i="8" a="1"/>
  <c r="BSF3" i="8" s="1"/>
  <c r="BSO3" i="8" a="1"/>
  <c r="BSO3" i="8" s="1"/>
  <c r="BSV3" i="8" a="1"/>
  <c r="BSV3" i="8" s="1"/>
  <c r="BTE3" i="8" a="1"/>
  <c r="BTE3" i="8" s="1"/>
  <c r="BTV3" i="8" a="1"/>
  <c r="BTV3" i="8" s="1"/>
  <c r="BUD3" i="8" a="1"/>
  <c r="BUD3" i="8" s="1"/>
  <c r="BUV3" i="8" a="1"/>
  <c r="BUV3" i="8" s="1"/>
  <c r="BVC3" i="8" a="1"/>
  <c r="BVC3" i="8" s="1"/>
  <c r="BVV3" i="8" a="1"/>
  <c r="BVV3" i="8" s="1"/>
  <c r="BWC3" i="8" a="1"/>
  <c r="BWC3" i="8" s="1"/>
  <c r="BWU3" i="8" a="1"/>
  <c r="BWU3" i="8" s="1"/>
  <c r="BXC3" i="8" a="1"/>
  <c r="BXC3" i="8" s="1"/>
  <c r="BXT3" i="8" a="1"/>
  <c r="BXT3" i="8" s="1"/>
  <c r="BYC3" i="8" a="1"/>
  <c r="BYC3" i="8" s="1"/>
  <c r="BYV3" i="8" a="1"/>
  <c r="BYV3" i="8" s="1"/>
  <c r="BZI3" i="8" a="1"/>
  <c r="BZI3" i="8" s="1"/>
  <c r="BZP3" i="8" a="1"/>
  <c r="BZP3" i="8" s="1"/>
  <c r="BZW3" i="8" a="1"/>
  <c r="BZW3" i="8" s="1"/>
  <c r="CAE3" i="8" a="1"/>
  <c r="CAE3" i="8" s="1"/>
  <c r="CAU3" i="8" a="1"/>
  <c r="CAU3" i="8" s="1"/>
  <c r="CBC3" i="8" a="1"/>
  <c r="CBC3" i="8" s="1"/>
  <c r="CBL3" i="8" a="1"/>
  <c r="CBL3" i="8" s="1"/>
  <c r="CBU3" i="8" a="1"/>
  <c r="CBU3" i="8" s="1"/>
  <c r="CCC3" i="8" a="1"/>
  <c r="CCC3" i="8" s="1"/>
  <c r="CCL3" i="8" a="1"/>
  <c r="CCL3" i="8" s="1"/>
  <c r="CDC3" i="8" a="1"/>
  <c r="CDC3" i="8" s="1"/>
  <c r="CEL3" i="8" a="1"/>
  <c r="CEL3" i="8" s="1"/>
  <c r="CET3" i="8" a="1"/>
  <c r="CET3" i="8" s="1"/>
  <c r="CFC3" i="8" a="1"/>
  <c r="CFC3" i="8" s="1"/>
  <c r="CFJ3" i="8" a="1"/>
  <c r="CFJ3" i="8" s="1"/>
  <c r="CGT3" i="8" a="1"/>
  <c r="CGT3" i="8" s="1"/>
  <c r="AXO3" i="8" a="1"/>
  <c r="AXO3" i="8" s="1"/>
  <c r="BCC3" i="8" a="1"/>
  <c r="BCC3" i="8" s="1"/>
  <c r="BEK3" i="8" a="1"/>
  <c r="BEK3" i="8" s="1"/>
  <c r="BFU3" i="8" a="1"/>
  <c r="BFU3" i="8" s="1"/>
  <c r="BGS3" i="8" a="1"/>
  <c r="BGS3" i="8" s="1"/>
  <c r="BHU3" i="8" a="1"/>
  <c r="BHU3" i="8" s="1"/>
  <c r="BIH3" i="8" a="1"/>
  <c r="BIH3" i="8" s="1"/>
  <c r="BIS3" i="8" a="1"/>
  <c r="BIS3" i="8" s="1"/>
  <c r="BJE3" i="8" a="1"/>
  <c r="BJE3" i="8" s="1"/>
  <c r="BJR3" i="8" a="1"/>
  <c r="BJR3" i="8" s="1"/>
  <c r="BKB3" i="8" a="1"/>
  <c r="BKB3" i="8" s="1"/>
  <c r="BKN3" i="8" a="1"/>
  <c r="BKN3" i="8" s="1"/>
  <c r="BKZ3" i="8" a="1"/>
  <c r="BKZ3" i="8" s="1"/>
  <c r="BLI3" i="8" a="1"/>
  <c r="BLI3" i="8" s="1"/>
  <c r="BLR3" i="8" a="1"/>
  <c r="BLR3" i="8" s="1"/>
  <c r="BMB3" i="8" a="1"/>
  <c r="BMB3" i="8" s="1"/>
  <c r="BMK3" i="8" a="1"/>
  <c r="BMK3" i="8" s="1"/>
  <c r="BNB3" i="8" a="1"/>
  <c r="BNB3" i="8" s="1"/>
  <c r="BNI3" i="8" a="1"/>
  <c r="BNI3" i="8" s="1"/>
  <c r="BOA3" i="8" a="1"/>
  <c r="BOA3" i="8" s="1"/>
  <c r="BOI3" i="8" a="1"/>
  <c r="BOI3" i="8" s="1"/>
  <c r="BOZ3" i="8" a="1"/>
  <c r="BOZ3" i="8" s="1"/>
  <c r="BPI3" i="8" a="1"/>
  <c r="BPI3" i="8" s="1"/>
  <c r="BPP3" i="8" a="1"/>
  <c r="BPP3" i="8" s="1"/>
  <c r="BPY3" i="8" a="1"/>
  <c r="BPY3" i="8" s="1"/>
  <c r="BQP3" i="8" a="1"/>
  <c r="BQP3" i="8" s="1"/>
  <c r="BQX3" i="8" a="1"/>
  <c r="BQX3" i="8" s="1"/>
  <c r="BRP3" i="8" a="1"/>
  <c r="BRP3" i="8" s="1"/>
  <c r="BRW3" i="8" a="1"/>
  <c r="BRW3" i="8" s="1"/>
  <c r="BSP3" i="8" a="1"/>
  <c r="BSP3" i="8" s="1"/>
  <c r="BSW3" i="8" a="1"/>
  <c r="BSW3" i="8" s="1"/>
  <c r="BTO3" i="8" a="1"/>
  <c r="BTO3" i="8" s="1"/>
  <c r="BTW3" i="8" a="1"/>
  <c r="BTW3" i="8" s="1"/>
  <c r="BUN3" i="8" a="1"/>
  <c r="BUN3" i="8" s="1"/>
  <c r="BUW3" i="8" a="1"/>
  <c r="BUW3" i="8" s="1"/>
  <c r="BVD3" i="8" a="1"/>
  <c r="BVD3" i="8" s="1"/>
  <c r="BVM3" i="8" a="1"/>
  <c r="BVM3" i="8" s="1"/>
  <c r="BWD3" i="8" a="1"/>
  <c r="BWD3" i="8" s="1"/>
  <c r="BWL3" i="8" a="1"/>
  <c r="BWL3" i="8" s="1"/>
  <c r="BXD3" i="8" a="1"/>
  <c r="BXD3" i="8" s="1"/>
  <c r="BXK3" i="8" a="1"/>
  <c r="BXK3" i="8" s="1"/>
  <c r="BYD3" i="8" a="1"/>
  <c r="BYD3" i="8" s="1"/>
  <c r="BYJ3" i="8" a="1"/>
  <c r="BYJ3" i="8" s="1"/>
  <c r="BYP3" i="8" a="1"/>
  <c r="BYP3" i="8" s="1"/>
  <c r="BZC3" i="8" a="1"/>
  <c r="BZC3" i="8" s="1"/>
  <c r="BZX3" i="8" a="1"/>
  <c r="BZX3" i="8" s="1"/>
  <c r="CAM3" i="8" a="1"/>
  <c r="CAM3" i="8" s="1"/>
  <c r="CAV3" i="8" a="1"/>
  <c r="CAV3" i="8" s="1"/>
  <c r="CBD3" i="8" a="1"/>
  <c r="CBD3" i="8" s="1"/>
  <c r="CBM3" i="8" a="1"/>
  <c r="CBM3" i="8" s="1"/>
  <c r="CBV3" i="8" a="1"/>
  <c r="CBV3" i="8" s="1"/>
  <c r="CCD3" i="8" a="1"/>
  <c r="CCD3" i="8" s="1"/>
  <c r="CCU3" i="8" a="1"/>
  <c r="CCU3" i="8" s="1"/>
  <c r="CDD3" i="8" a="1"/>
  <c r="CDD3" i="8" s="1"/>
  <c r="CDM3" i="8" a="1"/>
  <c r="CDM3" i="8" s="1"/>
  <c r="CDU3" i="8" a="1"/>
  <c r="CDU3" i="8" s="1"/>
  <c r="CED3" i="8" a="1"/>
  <c r="CED3" i="8" s="1"/>
  <c r="CEU3" i="8" a="1"/>
  <c r="CEU3" i="8" s="1"/>
  <c r="CFK3" i="8" a="1"/>
  <c r="CFK3" i="8" s="1"/>
  <c r="CFT3" i="8" a="1"/>
  <c r="CFT3" i="8" s="1"/>
  <c r="AXZ3" i="8" a="1"/>
  <c r="AXZ3" i="8" s="1"/>
  <c r="BCG3" i="8" a="1"/>
  <c r="BCG3" i="8" s="1"/>
  <c r="BEN3" i="8" a="1"/>
  <c r="BEN3" i="8" s="1"/>
  <c r="BFX3" i="8" a="1"/>
  <c r="BFX3" i="8" s="1"/>
  <c r="BGT3" i="8" a="1"/>
  <c r="BGT3" i="8" s="1"/>
  <c r="BHI3" i="8" a="1"/>
  <c r="BHI3" i="8" s="1"/>
  <c r="BHV3" i="8" a="1"/>
  <c r="BHV3" i="8" s="1"/>
  <c r="BIT3" i="8" a="1"/>
  <c r="BIT3" i="8" s="1"/>
  <c r="BJF3" i="8" a="1"/>
  <c r="BJF3" i="8" s="1"/>
  <c r="BKC3" i="8" a="1"/>
  <c r="BKC3" i="8" s="1"/>
  <c r="BKO3" i="8" a="1"/>
  <c r="BKO3" i="8" s="1"/>
  <c r="BLA3" i="8" a="1"/>
  <c r="BLA3" i="8" s="1"/>
  <c r="BLJ3" i="8" a="1"/>
  <c r="BLJ3" i="8" s="1"/>
  <c r="BLS3" i="8" a="1"/>
  <c r="BLS3" i="8" s="1"/>
  <c r="BMS3" i="8" a="1"/>
  <c r="BMS3" i="8" s="1"/>
  <c r="BNJ3" i="8" a="1"/>
  <c r="BNJ3" i="8" s="1"/>
  <c r="BNR3" i="8" a="1"/>
  <c r="BNR3" i="8" s="1"/>
  <c r="BOJ3" i="8" a="1"/>
  <c r="BOJ3" i="8" s="1"/>
  <c r="BOQ3" i="8" a="1"/>
  <c r="BOQ3" i="8" s="1"/>
  <c r="BPJ3" i="8" a="1"/>
  <c r="BPJ3" i="8" s="1"/>
  <c r="BPQ3" i="8" a="1"/>
  <c r="BPQ3" i="8" s="1"/>
  <c r="BQI3" i="8" a="1"/>
  <c r="BQI3" i="8" s="1"/>
  <c r="BQQ3" i="8" a="1"/>
  <c r="BQQ3" i="8" s="1"/>
  <c r="BRH3" i="8" a="1"/>
  <c r="BRH3" i="8" s="1"/>
  <c r="BRQ3" i="8" a="1"/>
  <c r="BRQ3" i="8" s="1"/>
  <c r="BRX3" i="8" a="1"/>
  <c r="BRX3" i="8" s="1"/>
  <c r="BSG3" i="8" a="1"/>
  <c r="BSG3" i="8" s="1"/>
  <c r="BSX3" i="8" a="1"/>
  <c r="BSX3" i="8" s="1"/>
  <c r="BTF3" i="8" a="1"/>
  <c r="BTF3" i="8" s="1"/>
  <c r="BTX3" i="8" a="1"/>
  <c r="BTX3" i="8" s="1"/>
  <c r="BUE3" i="8" a="1"/>
  <c r="BUE3" i="8" s="1"/>
  <c r="BUX3" i="8" a="1"/>
  <c r="BUX3" i="8" s="1"/>
  <c r="BVE3" i="8" a="1"/>
  <c r="BVE3" i="8" s="1"/>
  <c r="BVW3" i="8" a="1"/>
  <c r="BVW3" i="8" s="1"/>
  <c r="BWE3" i="8" a="1"/>
  <c r="BWE3" i="8" s="1"/>
  <c r="BWV3" i="8" a="1"/>
  <c r="BWV3" i="8" s="1"/>
  <c r="BXE3" i="8" a="1"/>
  <c r="BXE3" i="8" s="1"/>
  <c r="BXL3" i="8" a="1"/>
  <c r="BXL3" i="8" s="1"/>
  <c r="BXU3" i="8" a="1"/>
  <c r="BXU3" i="8" s="1"/>
  <c r="BYW3" i="8" a="1"/>
  <c r="BYW3" i="8" s="1"/>
  <c r="BZJ3" i="8" a="1"/>
  <c r="BZJ3" i="8" s="1"/>
  <c r="BZQ3" i="8" a="1"/>
  <c r="BZQ3" i="8" s="1"/>
  <c r="BZY3" i="8" a="1"/>
  <c r="BZY3" i="8" s="1"/>
  <c r="CAF3" i="8" a="1"/>
  <c r="CAF3" i="8" s="1"/>
  <c r="CBE3" i="8" a="1"/>
  <c r="CBE3" i="8" s="1"/>
  <c r="CBN3" i="8" a="1"/>
  <c r="CBN3" i="8" s="1"/>
  <c r="CCE3" i="8" a="1"/>
  <c r="CCE3" i="8" s="1"/>
  <c r="CCM3" i="8" a="1"/>
  <c r="CCM3" i="8" s="1"/>
  <c r="CCV3" i="8" a="1"/>
  <c r="CCV3" i="8" s="1"/>
  <c r="CDN3" i="8" a="1"/>
  <c r="CDN3" i="8" s="1"/>
  <c r="CDV3" i="8" a="1"/>
  <c r="CDV3" i="8" s="1"/>
  <c r="CEM3" i="8" a="1"/>
  <c r="CEM3" i="8" s="1"/>
  <c r="CFD3" i="8" a="1"/>
  <c r="CFD3" i="8" s="1"/>
  <c r="CFL3" i="8" a="1"/>
  <c r="CFL3" i="8" s="1"/>
  <c r="CFU3" i="8" a="1"/>
  <c r="CFU3" i="8" s="1"/>
  <c r="CGC3" i="8" a="1"/>
  <c r="CGC3" i="8" s="1"/>
  <c r="CGL3" i="8" a="1"/>
  <c r="CGL3" i="8" s="1"/>
  <c r="CGV3" i="8" a="1"/>
  <c r="CGV3" i="8" s="1"/>
  <c r="CHE3" i="8" a="1"/>
  <c r="CHE3" i="8" s="1"/>
  <c r="CHN3" i="8" a="1"/>
  <c r="CHN3" i="8" s="1"/>
  <c r="AYK3" i="8" a="1"/>
  <c r="AYK3" i="8" s="1"/>
  <c r="BCO3" i="8" a="1"/>
  <c r="BCO3" i="8" s="1"/>
  <c r="BEO3" i="8" a="1"/>
  <c r="BEO3" i="8" s="1"/>
  <c r="BFY3" i="8" a="1"/>
  <c r="BFY3" i="8" s="1"/>
  <c r="BGU3" i="8" a="1"/>
  <c r="BGU3" i="8" s="1"/>
  <c r="BHK3" i="8" a="1"/>
  <c r="BHK3" i="8" s="1"/>
  <c r="BHW3" i="8" a="1"/>
  <c r="BHW3" i="8" s="1"/>
  <c r="BII3" i="8" a="1"/>
  <c r="BII3" i="8" s="1"/>
  <c r="BIU3" i="8" a="1"/>
  <c r="BIU3" i="8" s="1"/>
  <c r="BJG3" i="8" a="1"/>
  <c r="BJG3" i="8" s="1"/>
  <c r="BJS3" i="8" a="1"/>
  <c r="BJS3" i="8" s="1"/>
  <c r="BKD3" i="8" a="1"/>
  <c r="BKD3" i="8" s="1"/>
  <c r="BKP3" i="8" a="1"/>
  <c r="BKP3" i="8" s="1"/>
  <c r="BMC3" i="8" a="1"/>
  <c r="BMC3" i="8" s="1"/>
  <c r="BML3" i="8" a="1"/>
  <c r="BML3" i="8" s="1"/>
  <c r="BNC3" i="8" a="1"/>
  <c r="BNC3" i="8" s="1"/>
  <c r="BNK3" i="8" a="1"/>
  <c r="BNK3" i="8" s="1"/>
  <c r="BOB3" i="8" a="1"/>
  <c r="BOB3" i="8" s="1"/>
  <c r="BOK3" i="8" a="1"/>
  <c r="BOK3" i="8" s="1"/>
  <c r="BOR3" i="8" a="1"/>
  <c r="BOR3" i="8" s="1"/>
  <c r="BPA3" i="8" a="1"/>
  <c r="BPA3" i="8" s="1"/>
  <c r="BPR3" i="8" a="1"/>
  <c r="BPR3" i="8" s="1"/>
  <c r="BPZ3" i="8" a="1"/>
  <c r="BPZ3" i="8" s="1"/>
  <c r="BQR3" i="8" a="1"/>
  <c r="BQR3" i="8" s="1"/>
  <c r="BQY3" i="8" a="1"/>
  <c r="BQY3" i="8" s="1"/>
  <c r="BRR3" i="8" a="1"/>
  <c r="BRR3" i="8" s="1"/>
  <c r="BRY3" i="8" a="1"/>
  <c r="BRY3" i="8" s="1"/>
  <c r="BSQ3" i="8" a="1"/>
  <c r="BSQ3" i="8" s="1"/>
  <c r="BSY3" i="8" a="1"/>
  <c r="BSY3" i="8" s="1"/>
  <c r="BTP3" i="8" a="1"/>
  <c r="BTP3" i="8" s="1"/>
  <c r="BTY3" i="8" a="1"/>
  <c r="BTY3" i="8" s="1"/>
  <c r="BUF3" i="8" a="1"/>
  <c r="BUF3" i="8" s="1"/>
  <c r="BUO3" i="8" a="1"/>
  <c r="BUO3" i="8" s="1"/>
  <c r="BVF3" i="8" a="1"/>
  <c r="BVF3" i="8" s="1"/>
  <c r="BVN3" i="8" a="1"/>
  <c r="BVN3" i="8" s="1"/>
  <c r="BWF3" i="8" a="1"/>
  <c r="BWF3" i="8" s="1"/>
  <c r="BWM3" i="8" a="1"/>
  <c r="BWM3" i="8" s="1"/>
  <c r="BXF3" i="8" a="1"/>
  <c r="BXF3" i="8" s="1"/>
  <c r="BXM3" i="8" a="1"/>
  <c r="BXM3" i="8" s="1"/>
  <c r="BYE3" i="8" a="1"/>
  <c r="BYE3" i="8" s="1"/>
  <c r="BYK3" i="8" a="1"/>
  <c r="BYK3" i="8" s="1"/>
  <c r="BYQ3" i="8" a="1"/>
  <c r="BYQ3" i="8" s="1"/>
  <c r="BZD3" i="8" a="1"/>
  <c r="BZD3" i="8" s="1"/>
  <c r="BZK3" i="8" a="1"/>
  <c r="BZK3" i="8" s="1"/>
  <c r="BZR3" i="8" a="1"/>
  <c r="BZR3" i="8" s="1"/>
  <c r="CAG3" i="8" a="1"/>
  <c r="CAG3" i="8" s="1"/>
  <c r="CAN3" i="8" a="1"/>
  <c r="CAN3" i="8" s="1"/>
  <c r="CAW3" i="8" a="1"/>
  <c r="CAW3" i="8" s="1"/>
  <c r="CBW3" i="8" a="1"/>
  <c r="CBW3" i="8" s="1"/>
  <c r="CCF3" i="8" a="1"/>
  <c r="CCF3" i="8" s="1"/>
  <c r="CCN3" i="8" a="1"/>
  <c r="CCN3" i="8" s="1"/>
  <c r="CDE3" i="8" a="1"/>
  <c r="CDE3" i="8" s="1"/>
  <c r="CEE3" i="8" a="1"/>
  <c r="CEE3" i="8" s="1"/>
  <c r="CEN3" i="8" a="1"/>
  <c r="CEN3" i="8" s="1"/>
  <c r="CEV3" i="8" a="1"/>
  <c r="CEV3" i="8" s="1"/>
  <c r="CFM3" i="8" a="1"/>
  <c r="CFM3" i="8" s="1"/>
  <c r="AYW3" i="8" a="1"/>
  <c r="AYW3" i="8" s="1"/>
  <c r="BCS3" i="8" a="1"/>
  <c r="BCS3" i="8" s="1"/>
  <c r="BER3" i="8" a="1"/>
  <c r="BER3" i="8" s="1"/>
  <c r="BGA3" i="8" a="1"/>
  <c r="BGA3" i="8" s="1"/>
  <c r="BGW3" i="8" a="1"/>
  <c r="BGW3" i="8" s="1"/>
  <c r="BHL3" i="8" a="1"/>
  <c r="BHL3" i="8" s="1"/>
  <c r="BHY3" i="8" a="1"/>
  <c r="BHY3" i="8" s="1"/>
  <c r="BIJ3" i="8" a="1"/>
  <c r="BIJ3" i="8" s="1"/>
  <c r="BIV3" i="8" a="1"/>
  <c r="BIV3" i="8" s="1"/>
  <c r="BJI3" i="8" a="1"/>
  <c r="BJI3" i="8" s="1"/>
  <c r="BJT3" i="8" a="1"/>
  <c r="BJT3" i="8" s="1"/>
  <c r="BKE3" i="8" a="1"/>
  <c r="BKE3" i="8" s="1"/>
  <c r="BLB3" i="8" a="1"/>
  <c r="BLB3" i="8" s="1"/>
  <c r="BLK3" i="8" a="1"/>
  <c r="BLK3" i="8" s="1"/>
  <c r="BLT3" i="8" a="1"/>
  <c r="BLT3" i="8" s="1"/>
  <c r="BMT3" i="8" a="1"/>
  <c r="BMT3" i="8" s="1"/>
  <c r="BNL3" i="8" a="1"/>
  <c r="BNL3" i="8" s="1"/>
  <c r="BNS3" i="8" a="1"/>
  <c r="BNS3" i="8" s="1"/>
  <c r="BOL3" i="8" a="1"/>
  <c r="BOL3" i="8" s="1"/>
  <c r="BOS3" i="8" a="1"/>
  <c r="BOS3" i="8" s="1"/>
  <c r="BPK3" i="8" a="1"/>
  <c r="BPK3" i="8" s="1"/>
  <c r="BPS3" i="8" a="1"/>
  <c r="BPS3" i="8" s="1"/>
  <c r="BQJ3" i="8" a="1"/>
  <c r="BQJ3" i="8" s="1"/>
  <c r="BQS3" i="8" a="1"/>
  <c r="BQS3" i="8" s="1"/>
  <c r="BQZ3" i="8" a="1"/>
  <c r="BQZ3" i="8" s="1"/>
  <c r="BRI3" i="8" a="1"/>
  <c r="BRI3" i="8" s="1"/>
  <c r="BRZ3" i="8" a="1"/>
  <c r="BRZ3" i="8" s="1"/>
  <c r="BSH3" i="8" a="1"/>
  <c r="BSH3" i="8" s="1"/>
  <c r="BSZ3" i="8" a="1"/>
  <c r="BSZ3" i="8" s="1"/>
  <c r="BTG3" i="8" a="1"/>
  <c r="BTG3" i="8" s="1"/>
  <c r="BTZ3" i="8" a="1"/>
  <c r="BTZ3" i="8" s="1"/>
  <c r="BUG3" i="8" a="1"/>
  <c r="BUG3" i="8" s="1"/>
  <c r="BUY3" i="8" a="1"/>
  <c r="BUY3" i="8" s="1"/>
  <c r="BVG3" i="8" a="1"/>
  <c r="BVG3" i="8" s="1"/>
  <c r="BVX3" i="8" a="1"/>
  <c r="BVX3" i="8" s="1"/>
  <c r="BWG3" i="8" a="1"/>
  <c r="BWG3" i="8" s="1"/>
  <c r="BWN3" i="8" a="1"/>
  <c r="BWN3" i="8" s="1"/>
  <c r="BWW3" i="8" a="1"/>
  <c r="BWW3" i="8" s="1"/>
  <c r="BXN3" i="8" a="1"/>
  <c r="BXN3" i="8" s="1"/>
  <c r="BXV3" i="8" a="1"/>
  <c r="BXV3" i="8" s="1"/>
  <c r="BYX3" i="8" a="1"/>
  <c r="BYX3" i="8" s="1"/>
  <c r="BZL3" i="8" a="1"/>
  <c r="BZL3" i="8" s="1"/>
  <c r="BZZ3" i="8" a="1"/>
  <c r="BZZ3" i="8" s="1"/>
  <c r="CAO3" i="8" a="1"/>
  <c r="CAO3" i="8" s="1"/>
  <c r="CBF3" i="8" a="1"/>
  <c r="CBF3" i="8" s="1"/>
  <c r="CBO3" i="8" a="1"/>
  <c r="CBO3" i="8" s="1"/>
  <c r="CCG3" i="8" a="1"/>
  <c r="CCG3" i="8" s="1"/>
  <c r="CCW3" i="8" a="1"/>
  <c r="CCW3" i="8" s="1"/>
  <c r="CDF3" i="8" a="1"/>
  <c r="CDF3" i="8" s="1"/>
  <c r="CDO3" i="8" a="1"/>
  <c r="CDO3" i="8" s="1"/>
  <c r="CDW3" i="8" a="1"/>
  <c r="CDW3" i="8" s="1"/>
  <c r="CEF3" i="8" a="1"/>
  <c r="CEF3" i="8" s="1"/>
  <c r="CFE3" i="8" a="1"/>
  <c r="CFE3" i="8" s="1"/>
  <c r="CFN3" i="8" a="1"/>
  <c r="CFN3" i="8" s="1"/>
  <c r="CFV3" i="8" a="1"/>
  <c r="CFV3" i="8" s="1"/>
  <c r="AZI3" i="8" a="1"/>
  <c r="AZI3" i="8" s="1"/>
  <c r="BDA3" i="8" a="1"/>
  <c r="BDA3" i="8" s="1"/>
  <c r="BEW3" i="8" a="1"/>
  <c r="BEW3" i="8" s="1"/>
  <c r="BGD3" i="8" a="1"/>
  <c r="BGD3" i="8" s="1"/>
  <c r="BGX3" i="8" a="1"/>
  <c r="BGX3" i="8" s="1"/>
  <c r="BHM3" i="8" a="1"/>
  <c r="BHM3" i="8" s="1"/>
  <c r="BIK3" i="8" a="1"/>
  <c r="BIK3" i="8" s="1"/>
  <c r="BIW3" i="8" a="1"/>
  <c r="BIW3" i="8" s="1"/>
  <c r="BJU3" i="8" a="1"/>
  <c r="BJU3" i="8" s="1"/>
  <c r="BKF3" i="8" a="1"/>
  <c r="BKF3" i="8" s="1"/>
  <c r="BKQ3" i="8" a="1"/>
  <c r="BKQ3" i="8" s="1"/>
  <c r="BMD3" i="8" a="1"/>
  <c r="BMD3" i="8" s="1"/>
  <c r="BMM3" i="8" a="1"/>
  <c r="BMM3" i="8" s="1"/>
  <c r="BND3" i="8" a="1"/>
  <c r="BND3" i="8" s="1"/>
  <c r="BNM3" i="8" a="1"/>
  <c r="BNM3" i="8" s="1"/>
  <c r="BNT3" i="8" a="1"/>
  <c r="BNT3" i="8" s="1"/>
  <c r="BOC3" i="8" a="1"/>
  <c r="BOC3" i="8" s="1"/>
  <c r="BOT3" i="8" a="1"/>
  <c r="BOT3" i="8" s="1"/>
  <c r="BPB3" i="8" a="1"/>
  <c r="BPB3" i="8" s="1"/>
  <c r="BPT3" i="8" a="1"/>
  <c r="BPT3" i="8" s="1"/>
  <c r="BQA3" i="8" a="1"/>
  <c r="BQA3" i="8" s="1"/>
  <c r="BQT3" i="8" a="1"/>
  <c r="BQT3" i="8" s="1"/>
  <c r="BRA3" i="8" a="1"/>
  <c r="BRA3" i="8" s="1"/>
  <c r="BRS3" i="8" a="1"/>
  <c r="BRS3" i="8" s="1"/>
  <c r="BSA3" i="8" a="1"/>
  <c r="BSA3" i="8" s="1"/>
  <c r="BSR3" i="8" a="1"/>
  <c r="BSR3" i="8" s="1"/>
  <c r="BTA3" i="8" a="1"/>
  <c r="BTA3" i="8" s="1"/>
  <c r="BTH3" i="8" a="1"/>
  <c r="BTH3" i="8" s="1"/>
  <c r="BTQ3" i="8" a="1"/>
  <c r="BTQ3" i="8" s="1"/>
  <c r="BUH3" i="8" a="1"/>
  <c r="BUH3" i="8" s="1"/>
  <c r="BUP3" i="8" a="1"/>
  <c r="BUP3" i="8" s="1"/>
  <c r="BVH3" i="8" a="1"/>
  <c r="BVH3" i="8" s="1"/>
  <c r="BVO3" i="8" a="1"/>
  <c r="BVO3" i="8" s="1"/>
  <c r="BWH3" i="8" a="1"/>
  <c r="BWH3" i="8" s="1"/>
  <c r="BWO3" i="8" a="1"/>
  <c r="BWO3" i="8" s="1"/>
  <c r="BXG3" i="8" a="1"/>
  <c r="BXG3" i="8" s="1"/>
  <c r="BXO3" i="8" a="1"/>
  <c r="BXO3" i="8" s="1"/>
  <c r="BYF3" i="8" a="1"/>
  <c r="BYF3" i="8" s="1"/>
  <c r="BYL3" i="8" a="1"/>
  <c r="BYL3" i="8" s="1"/>
  <c r="BYR3" i="8" a="1"/>
  <c r="BYR3" i="8" s="1"/>
  <c r="BZE3" i="8" a="1"/>
  <c r="BZE3" i="8" s="1"/>
  <c r="BZS3" i="8" a="1"/>
  <c r="BZS3" i="8" s="1"/>
  <c r="CAH3" i="8" a="1"/>
  <c r="CAH3" i="8" s="1"/>
  <c r="CAP3" i="8" a="1"/>
  <c r="CAP3" i="8" s="1"/>
  <c r="CAX3" i="8" a="1"/>
  <c r="CAX3" i="8" s="1"/>
  <c r="CBG3" i="8" a="1"/>
  <c r="CBG3" i="8" s="1"/>
  <c r="CBX3" i="8" a="1"/>
  <c r="CBX3" i="8" s="1"/>
  <c r="CCO3" i="8" a="1"/>
  <c r="CCO3" i="8" s="1"/>
  <c r="CCX3" i="8" a="1"/>
  <c r="CCX3" i="8" s="1"/>
  <c r="CDG3" i="8" a="1"/>
  <c r="CDG3" i="8" s="1"/>
  <c r="CDP3" i="8" a="1"/>
  <c r="CDP3" i="8" s="1"/>
  <c r="CDX3" i="8" a="1"/>
  <c r="CDX3" i="8" s="1"/>
  <c r="CEG3" i="8" a="1"/>
  <c r="CEG3" i="8" s="1"/>
  <c r="CEO3" i="8" a="1"/>
  <c r="CEO3" i="8" s="1"/>
  <c r="CEW3" i="8" a="1"/>
  <c r="CEW3" i="8" s="1"/>
  <c r="CFF3" i="8" a="1"/>
  <c r="CFF3" i="8" s="1"/>
  <c r="CGF3" i="8" a="1"/>
  <c r="CGF3" i="8" s="1"/>
  <c r="CGX3" i="8" a="1"/>
  <c r="CGX3" i="8" s="1"/>
  <c r="CHG3" i="8" a="1"/>
  <c r="CHG3" i="8" s="1"/>
  <c r="CHZ3" i="8" a="1"/>
  <c r="CHZ3" i="8" s="1"/>
  <c r="AZU3" i="8" a="1"/>
  <c r="AZU3" i="8" s="1"/>
  <c r="BDE3" i="8" a="1"/>
  <c r="BDE3" i="8" s="1"/>
  <c r="BEZ3" i="8" a="1"/>
  <c r="BEZ3" i="8" s="1"/>
  <c r="BGF3" i="8" a="1"/>
  <c r="BGF3" i="8" s="1"/>
  <c r="BHO3" i="8" a="1"/>
  <c r="BHO3" i="8" s="1"/>
  <c r="BHZ3" i="8" a="1"/>
  <c r="BHZ3" i="8" s="1"/>
  <c r="BIL3" i="8" a="1"/>
  <c r="BIL3" i="8" s="1"/>
  <c r="BIY3" i="8" a="1"/>
  <c r="BIY3" i="8" s="1"/>
  <c r="BJJ3" i="8" a="1"/>
  <c r="BJJ3" i="8" s="1"/>
  <c r="BJV3" i="8" a="1"/>
  <c r="BJV3" i="8" s="1"/>
  <c r="BKG3" i="8" a="1"/>
  <c r="BKG3" i="8" s="1"/>
  <c r="BKR3" i="8" a="1"/>
  <c r="BKR3" i="8" s="1"/>
  <c r="BLC3" i="8" a="1"/>
  <c r="BLC3" i="8" s="1"/>
  <c r="BLL3" i="8" a="1"/>
  <c r="BLL3" i="8" s="1"/>
  <c r="BLU3" i="8" a="1"/>
  <c r="BLU3" i="8" s="1"/>
  <c r="BME3" i="8" a="1"/>
  <c r="BME3" i="8" s="1"/>
  <c r="BMN3" i="8" a="1"/>
  <c r="BMN3" i="8" s="1"/>
  <c r="BMU3" i="8" a="1"/>
  <c r="BMU3" i="8" s="1"/>
  <c r="BNN3" i="8" a="1"/>
  <c r="BNN3" i="8" s="1"/>
  <c r="BNU3" i="8" a="1"/>
  <c r="BNU3" i="8" s="1"/>
  <c r="BOM3" i="8" a="1"/>
  <c r="BOM3" i="8" s="1"/>
  <c r="BOU3" i="8" a="1"/>
  <c r="BOU3" i="8" s="1"/>
  <c r="BPL3" i="8" a="1"/>
  <c r="BPL3" i="8" s="1"/>
  <c r="BPU3" i="8" a="1"/>
  <c r="BPU3" i="8" s="1"/>
  <c r="BQB3" i="8" a="1"/>
  <c r="BQB3" i="8" s="1"/>
  <c r="BQK3" i="8" a="1"/>
  <c r="BQK3" i="8" s="1"/>
  <c r="BRB3" i="8" a="1"/>
  <c r="BRB3" i="8" s="1"/>
  <c r="BRJ3" i="8" a="1"/>
  <c r="BRJ3" i="8" s="1"/>
  <c r="BSB3" i="8" a="1"/>
  <c r="BSB3" i="8" s="1"/>
  <c r="BSI3" i="8" a="1"/>
  <c r="BSI3" i="8" s="1"/>
  <c r="BTB3" i="8" a="1"/>
  <c r="BTB3" i="8" s="1"/>
  <c r="BTI3" i="8" a="1"/>
  <c r="BTI3" i="8" s="1"/>
  <c r="BUA3" i="8" a="1"/>
  <c r="BUA3" i="8" s="1"/>
  <c r="BUI3" i="8" a="1"/>
  <c r="BUI3" i="8" s="1"/>
  <c r="BUZ3" i="8" a="1"/>
  <c r="BUZ3" i="8" s="1"/>
  <c r="BVI3" i="8" a="1"/>
  <c r="BVI3" i="8" s="1"/>
  <c r="BVP3" i="8" a="1"/>
  <c r="BVP3" i="8" s="1"/>
  <c r="BVY3" i="8" a="1"/>
  <c r="BVY3" i="8" s="1"/>
  <c r="BWP3" i="8" a="1"/>
  <c r="BWP3" i="8" s="1"/>
  <c r="BWX3" i="8" a="1"/>
  <c r="BWX3" i="8" s="1"/>
  <c r="BXP3" i="8" a="1"/>
  <c r="BXP3" i="8" s="1"/>
  <c r="BXW3" i="8" a="1"/>
  <c r="BXW3" i="8" s="1"/>
  <c r="BYY3" i="8" a="1"/>
  <c r="BYY3" i="8" s="1"/>
  <c r="BZF3" i="8" a="1"/>
  <c r="BZF3" i="8" s="1"/>
  <c r="BZM3" i="8" a="1"/>
  <c r="BZM3" i="8" s="1"/>
  <c r="CAA3" i="8" a="1"/>
  <c r="CAA3" i="8" s="1"/>
  <c r="CAQ3" i="8" a="1"/>
  <c r="CAQ3" i="8" s="1"/>
  <c r="CAY3" i="8" a="1"/>
  <c r="CAY3" i="8" s="1"/>
  <c r="CBH3" i="8" a="1"/>
  <c r="CBH3" i="8" s="1"/>
  <c r="CBP3" i="8" a="1"/>
  <c r="CBP3" i="8" s="1"/>
  <c r="CBY3" i="8" a="1"/>
  <c r="CBY3" i="8" s="1"/>
  <c r="CCH3" i="8" a="1"/>
  <c r="CCH3" i="8" s="1"/>
  <c r="CCY3" i="8" a="1"/>
  <c r="CCY3" i="8" s="1"/>
  <c r="CDY3" i="8" a="1"/>
  <c r="CDY3" i="8" s="1"/>
  <c r="CEH3" i="8" a="1"/>
  <c r="CEH3" i="8" s="1"/>
  <c r="CEP3" i="8" a="1"/>
  <c r="CEP3" i="8" s="1"/>
  <c r="CEX3" i="8" a="1"/>
  <c r="CEX3" i="8" s="1"/>
  <c r="CFO3" i="8" a="1"/>
  <c r="CFO3" i="8" s="1"/>
  <c r="CFW3" i="8" a="1"/>
  <c r="CFW3" i="8" s="1"/>
  <c r="CGO3" i="8" a="1"/>
  <c r="CGO3" i="8" s="1"/>
  <c r="BAG3" i="8" a="1"/>
  <c r="BAG3" i="8" s="1"/>
  <c r="BDM3" i="8" a="1"/>
  <c r="BDM3" i="8" s="1"/>
  <c r="BFA3" i="8" a="1"/>
  <c r="BFA3" i="8" s="1"/>
  <c r="BGI3" i="8" a="1"/>
  <c r="BGI3" i="8" s="1"/>
  <c r="BGZ3" i="8" a="1"/>
  <c r="BGZ3" i="8" s="1"/>
  <c r="BHP3" i="8" a="1"/>
  <c r="BHP3" i="8" s="1"/>
  <c r="BIA3" i="8" a="1"/>
  <c r="BIA3" i="8" s="1"/>
  <c r="BIM3" i="8" a="1"/>
  <c r="BIM3" i="8" s="1"/>
  <c r="BIZ3" i="8" a="1"/>
  <c r="BIZ3" i="8" s="1"/>
  <c r="BJK3" i="8" a="1"/>
  <c r="BJK3" i="8" s="1"/>
  <c r="BJW3" i="8" a="1"/>
  <c r="BJW3" i="8" s="1"/>
  <c r="BKH3" i="8" a="1"/>
  <c r="BKH3" i="8" s="1"/>
  <c r="BKT3" i="8" a="1"/>
  <c r="BKT3" i="8" s="1"/>
  <c r="BLD3" i="8" a="1"/>
  <c r="BLD3" i="8" s="1"/>
  <c r="BLM3" i="8" a="1"/>
  <c r="BLM3" i="8" s="1"/>
  <c r="BLV3" i="8" a="1"/>
  <c r="BLV3" i="8" s="1"/>
  <c r="BMO3" i="8" a="1"/>
  <c r="BMO3" i="8" s="1"/>
  <c r="BMV3" i="8" a="1"/>
  <c r="BMV3" i="8" s="1"/>
  <c r="BNE3" i="8" a="1"/>
  <c r="BNE3" i="8" s="1"/>
  <c r="BNV3" i="8" a="1"/>
  <c r="BNV3" i="8" s="1"/>
  <c r="BOD3" i="8" a="1"/>
  <c r="BOD3" i="8" s="1"/>
  <c r="BOV3" i="8" a="1"/>
  <c r="BOV3" i="8" s="1"/>
  <c r="BPC3" i="8" a="1"/>
  <c r="BPC3" i="8" s="1"/>
  <c r="BPV3" i="8" a="1"/>
  <c r="BPV3" i="8" s="1"/>
  <c r="BQC3" i="8" a="1"/>
  <c r="BQC3" i="8" s="1"/>
  <c r="BQU3" i="8" a="1"/>
  <c r="BQU3" i="8" s="1"/>
  <c r="BRC3" i="8" a="1"/>
  <c r="BRC3" i="8" s="1"/>
  <c r="BRT3" i="8" a="1"/>
  <c r="BRT3" i="8" s="1"/>
  <c r="BSC3" i="8" a="1"/>
  <c r="BSC3" i="8" s="1"/>
  <c r="BSJ3" i="8" a="1"/>
  <c r="BSJ3" i="8" s="1"/>
  <c r="BSS3" i="8" a="1"/>
  <c r="BSS3" i="8" s="1"/>
  <c r="BTJ3" i="8" a="1"/>
  <c r="BTJ3" i="8" s="1"/>
  <c r="BTR3" i="8" a="1"/>
  <c r="BTR3" i="8" s="1"/>
  <c r="BUJ3" i="8" a="1"/>
  <c r="BUJ3" i="8" s="1"/>
  <c r="BUQ3" i="8" a="1"/>
  <c r="BUQ3" i="8" s="1"/>
  <c r="BVJ3" i="8" a="1"/>
  <c r="BVJ3" i="8" s="1"/>
  <c r="BVQ3" i="8" a="1"/>
  <c r="BVQ3" i="8" s="1"/>
  <c r="BWI3" i="8" a="1"/>
  <c r="BWI3" i="8" s="1"/>
  <c r="BWQ3" i="8" a="1"/>
  <c r="BWQ3" i="8" s="1"/>
  <c r="BXH3" i="8" a="1"/>
  <c r="BXH3" i="8" s="1"/>
  <c r="BXQ3" i="8" a="1"/>
  <c r="BXQ3" i="8" s="1"/>
  <c r="BXX3" i="8" a="1"/>
  <c r="BXX3" i="8" s="1"/>
  <c r="BYG3" i="8" a="1"/>
  <c r="BYG3" i="8" s="1"/>
  <c r="BYM3" i="8" a="1"/>
  <c r="BYM3" i="8" s="1"/>
  <c r="BYS3" i="8" a="1"/>
  <c r="BYS3" i="8" s="1"/>
  <c r="BYZ3" i="8" a="1"/>
  <c r="BYZ3" i="8" s="1"/>
  <c r="BZT3" i="8" a="1"/>
  <c r="BZT3" i="8" s="1"/>
  <c r="CAI3" i="8" a="1"/>
  <c r="CAI3" i="8" s="1"/>
  <c r="CAR3" i="8" a="1"/>
  <c r="CAR3" i="8" s="1"/>
  <c r="CAZ3" i="8" a="1"/>
  <c r="CAZ3" i="8" s="1"/>
  <c r="CBI3" i="8" a="1"/>
  <c r="CBI3" i="8" s="1"/>
  <c r="CBQ3" i="8" a="1"/>
  <c r="CBQ3" i="8" s="1"/>
  <c r="CBZ3" i="8" a="1"/>
  <c r="CBZ3" i="8" s="1"/>
  <c r="CCI3" i="8" a="1"/>
  <c r="CCI3" i="8" s="1"/>
  <c r="CCP3" i="8" a="1"/>
  <c r="CCP3" i="8" s="1"/>
  <c r="CCZ3" i="8" a="1"/>
  <c r="CCZ3" i="8" s="1"/>
  <c r="CDH3" i="8" a="1"/>
  <c r="CDH3" i="8" s="1"/>
  <c r="CDQ3" i="8" a="1"/>
  <c r="CDQ3" i="8" s="1"/>
  <c r="CEY3" i="8" a="1"/>
  <c r="CEY3" i="8" s="1"/>
  <c r="CFG3" i="8" a="1"/>
  <c r="CFG3" i="8" s="1"/>
  <c r="BAS3" i="8" a="1"/>
  <c r="BAS3" i="8" s="1"/>
  <c r="BDP3" i="8" a="1"/>
  <c r="BDP3" i="8" s="1"/>
  <c r="BFD3" i="8" a="1"/>
  <c r="BFD3" i="8" s="1"/>
  <c r="BGJ3" i="8" a="1"/>
  <c r="BGJ3" i="8" s="1"/>
  <c r="BHB3" i="8" a="1"/>
  <c r="BHB3" i="8" s="1"/>
  <c r="BIB3" i="8" a="1"/>
  <c r="BIB3" i="8" s="1"/>
  <c r="BIN3" i="8" a="1"/>
  <c r="BIN3" i="8" s="1"/>
  <c r="BJL3" i="8" a="1"/>
  <c r="BJL3" i="8" s="1"/>
  <c r="BJX3" i="8" a="1"/>
  <c r="BJX3" i="8" s="1"/>
  <c r="BKI3" i="8" a="1"/>
  <c r="BKI3" i="8" s="1"/>
  <c r="BKU3" i="8" a="1"/>
  <c r="BKU3" i="8" s="1"/>
  <c r="BLW3" i="8" a="1"/>
  <c r="BLW3" i="8" s="1"/>
  <c r="BMF3" i="8" a="1"/>
  <c r="BMF3" i="8" s="1"/>
  <c r="BMP3" i="8" a="1"/>
  <c r="BMP3" i="8" s="1"/>
  <c r="BMW3" i="8" a="1"/>
  <c r="BMW3" i="8" s="1"/>
  <c r="BNO3" i="8" a="1"/>
  <c r="BNO3" i="8" s="1"/>
  <c r="BNW3" i="8" a="1"/>
  <c r="BNW3" i="8" s="1"/>
  <c r="BON3" i="8" a="1"/>
  <c r="BON3" i="8" s="1"/>
  <c r="BOW3" i="8" a="1"/>
  <c r="BOW3" i="8" s="1"/>
  <c r="BPD3" i="8" a="1"/>
  <c r="BPD3" i="8" s="1"/>
  <c r="BPM3" i="8" a="1"/>
  <c r="BPM3" i="8" s="1"/>
  <c r="BQD3" i="8" a="1"/>
  <c r="BQD3" i="8" s="1"/>
  <c r="BQL3" i="8" a="1"/>
  <c r="BQL3" i="8" s="1"/>
  <c r="BRD3" i="8" a="1"/>
  <c r="BRD3" i="8" s="1"/>
  <c r="BRK3" i="8" a="1"/>
  <c r="BRK3" i="8" s="1"/>
  <c r="BSD3" i="8" a="1"/>
  <c r="BSD3" i="8" s="1"/>
  <c r="BSK3" i="8" a="1"/>
  <c r="BSK3" i="8" s="1"/>
  <c r="BTC3" i="8" a="1"/>
  <c r="BTC3" i="8" s="1"/>
  <c r="BTK3" i="8" a="1"/>
  <c r="BTK3" i="8" s="1"/>
  <c r="BUB3" i="8" a="1"/>
  <c r="BUB3" i="8" s="1"/>
  <c r="BUK3" i="8" a="1"/>
  <c r="BUK3" i="8" s="1"/>
  <c r="BUR3" i="8" a="1"/>
  <c r="BUR3" i="8" s="1"/>
  <c r="BVA3" i="8" a="1"/>
  <c r="BVA3" i="8" s="1"/>
  <c r="BVR3" i="8" a="1"/>
  <c r="BVR3" i="8" s="1"/>
  <c r="BVZ3" i="8" a="1"/>
  <c r="BVZ3" i="8" s="1"/>
  <c r="BWR3" i="8" a="1"/>
  <c r="BWR3" i="8" s="1"/>
  <c r="BWY3" i="8" a="1"/>
  <c r="BWY3" i="8" s="1"/>
  <c r="BXR3" i="8" a="1"/>
  <c r="BXR3" i="8" s="1"/>
  <c r="BXY3" i="8" a="1"/>
  <c r="BXY3" i="8" s="1"/>
  <c r="BYT3" i="8" a="1"/>
  <c r="BYT3" i="8" s="1"/>
  <c r="BZG3" i="8" a="1"/>
  <c r="BZG3" i="8" s="1"/>
  <c r="BZN3" i="8" a="1"/>
  <c r="BZN3" i="8" s="1"/>
  <c r="CAB3" i="8" a="1"/>
  <c r="CAB3" i="8" s="1"/>
  <c r="CAJ3" i="8" a="1"/>
  <c r="CAJ3" i="8" s="1"/>
  <c r="CAS3" i="8" a="1"/>
  <c r="CAS3" i="8" s="1"/>
  <c r="CBR3" i="8" a="1"/>
  <c r="CBR3" i="8" s="1"/>
  <c r="CCA3" i="8" a="1"/>
  <c r="CCA3" i="8" s="1"/>
  <c r="CCQ3" i="8" a="1"/>
  <c r="CCQ3" i="8" s="1"/>
  <c r="CDA3" i="8" a="1"/>
  <c r="CDA3" i="8" s="1"/>
  <c r="CDI3" i="8" a="1"/>
  <c r="CDI3" i="8" s="1"/>
  <c r="CDZ3" i="8" a="1"/>
  <c r="CDZ3" i="8" s="1"/>
  <c r="CEI3" i="8" a="1"/>
  <c r="CEI3" i="8" s="1"/>
  <c r="CEQ3" i="8" a="1"/>
  <c r="CEQ3" i="8" s="1"/>
  <c r="CEZ3" i="8" a="1"/>
  <c r="CEZ3" i="8" s="1"/>
  <c r="CFH3" i="8" a="1"/>
  <c r="CFH3" i="8" s="1"/>
  <c r="CGH3" i="8" a="1"/>
  <c r="CGH3" i="8" s="1"/>
  <c r="CHA3" i="8" a="1"/>
  <c r="CHA3" i="8" s="1"/>
  <c r="CHI3" i="8" a="1"/>
  <c r="CHI3" i="8" s="1"/>
  <c r="CHS3" i="8" a="1"/>
  <c r="CHS3" i="8" s="1"/>
  <c r="CIC3" i="8" a="1"/>
  <c r="CIC3" i="8" s="1"/>
  <c r="AH3" i="8" a="1"/>
  <c r="AH3" i="8" s="1"/>
  <c r="BB3" i="8" a="1"/>
  <c r="BB3" i="8" s="1"/>
  <c r="BV3" i="8" a="1"/>
  <c r="BV3" i="8" s="1"/>
  <c r="DH3" i="8" a="1"/>
  <c r="DH3" i="8" s="1"/>
  <c r="G3" i="8" a="1"/>
  <c r="G3" i="8" s="1"/>
  <c r="T3" i="8" a="1"/>
  <c r="T3" i="8" s="1"/>
  <c r="AL3" i="8" a="1"/>
  <c r="AL3" i="8" s="1"/>
  <c r="BD3" i="8" a="1"/>
  <c r="BD3" i="8" s="1"/>
  <c r="BX3" i="8" a="1"/>
  <c r="BX3" i="8" s="1"/>
  <c r="DI3" i="8" a="1"/>
  <c r="DI3" i="8" s="1"/>
  <c r="H3" i="8" a="1"/>
  <c r="H3" i="8" s="1"/>
  <c r="U3" i="8" a="1"/>
  <c r="U3" i="8" s="1"/>
  <c r="AM3" i="8" a="1"/>
  <c r="AM3" i="8" s="1"/>
  <c r="BE3" i="8" a="1"/>
  <c r="BE3" i="8" s="1"/>
  <c r="BZ3" i="8" a="1"/>
  <c r="BZ3" i="8" s="1"/>
  <c r="DQ3" i="8" a="1"/>
  <c r="DQ3" i="8" s="1"/>
  <c r="S3" i="8" a="1"/>
  <c r="S3" i="8" s="1"/>
  <c r="W3" i="8" a="1"/>
  <c r="W3" i="8" s="1"/>
  <c r="AN3" i="8" a="1"/>
  <c r="AN3" i="8" s="1"/>
  <c r="BF3" i="8" a="1"/>
  <c r="BF3" i="8" s="1"/>
  <c r="CA3" i="8" a="1"/>
  <c r="CA3" i="8" s="1"/>
  <c r="DZ3" i="8" a="1"/>
  <c r="DZ3" i="8" s="1"/>
  <c r="I3" i="8" a="1"/>
  <c r="I3" i="8" s="1"/>
  <c r="X3" i="8" a="1"/>
  <c r="X3" i="8" s="1"/>
  <c r="AO3" i="8" a="1"/>
  <c r="AO3" i="8" s="1"/>
  <c r="CC3" i="8" a="1"/>
  <c r="CC3" i="8" s="1"/>
  <c r="EH3" i="8" a="1"/>
  <c r="EH3" i="8" s="1"/>
  <c r="Y3" i="8" a="1"/>
  <c r="Y3" i="8" s="1"/>
  <c r="AQ3" i="8" a="1"/>
  <c r="AQ3" i="8" s="1"/>
  <c r="BH3" i="8" a="1"/>
  <c r="BH3" i="8" s="1"/>
  <c r="CI3" i="8" a="1"/>
  <c r="CI3" i="8" s="1"/>
  <c r="EP3" i="8" a="1"/>
  <c r="EP3" i="8" s="1"/>
  <c r="L3" i="8" a="1"/>
  <c r="L3" i="8" s="1"/>
  <c r="Z3" i="8" a="1"/>
  <c r="Z3" i="8" s="1"/>
  <c r="AR3" i="8" a="1"/>
  <c r="AR3" i="8" s="1"/>
  <c r="BI3" i="8" a="1"/>
  <c r="BI3" i="8" s="1"/>
  <c r="CJ3" i="8" a="1"/>
  <c r="CJ3" i="8" s="1"/>
  <c r="EQ3" i="8" a="1"/>
  <c r="EQ3" i="8" s="1"/>
  <c r="N3" i="8" a="1"/>
  <c r="N3" i="8" s="1"/>
  <c r="AA3" i="8" a="1"/>
  <c r="AA3" i="8" s="1"/>
  <c r="AS3" i="8" a="1"/>
  <c r="AS3" i="8" s="1"/>
  <c r="BM3" i="8" a="1"/>
  <c r="BM3" i="8" s="1"/>
  <c r="CK3" i="8" a="1"/>
  <c r="CK3" i="8" s="1"/>
  <c r="EY3" i="8" a="1"/>
  <c r="EY3" i="8" s="1"/>
  <c r="O3" i="8" a="1"/>
  <c r="O3" i="8" s="1"/>
  <c r="AB3" i="8" a="1"/>
  <c r="AB3" i="8" s="1"/>
  <c r="AU3" i="8" a="1"/>
  <c r="AU3" i="8" s="1"/>
  <c r="BP3" i="8" a="1"/>
  <c r="BP3" i="8" s="1"/>
  <c r="CQ3" i="8" a="1"/>
  <c r="CQ3" i="8" s="1"/>
  <c r="FH3" i="8" a="1"/>
  <c r="FH3" i="8" s="1"/>
  <c r="P3" i="8" a="1"/>
  <c r="P3" i="8" s="1"/>
  <c r="AD3" i="8" a="1"/>
  <c r="AD3" i="8" s="1"/>
  <c r="AV3" i="8" a="1"/>
  <c r="AV3" i="8" s="1"/>
  <c r="BQ3" i="8" a="1"/>
  <c r="BQ3" i="8" s="1"/>
  <c r="CR3" i="8" a="1"/>
  <c r="CR3" i="8" s="1"/>
  <c r="FP3" i="8" a="1"/>
  <c r="FP3" i="8" s="1"/>
  <c r="Q3" i="8" a="1"/>
  <c r="Q3" i="8" s="1"/>
  <c r="AF3" i="8" a="1"/>
  <c r="AF3" i="8" s="1"/>
  <c r="AX3" i="8" a="1"/>
  <c r="AX3" i="8" s="1"/>
  <c r="BR3" i="8" a="1"/>
  <c r="BR3" i="8" s="1"/>
  <c r="CT3" i="8" a="1"/>
  <c r="CT3" i="8" s="1"/>
  <c r="GG3" i="8" a="1"/>
  <c r="GG3" i="8" s="1"/>
  <c r="R3" i="8" a="1"/>
  <c r="R3" i="8" s="1"/>
  <c r="AG3" i="8" a="1"/>
  <c r="AG3" i="8" s="1"/>
  <c r="AZ3" i="8" a="1"/>
  <c r="AZ3" i="8" s="1"/>
  <c r="BS3" i="8" a="1"/>
  <c r="BS3" i="8" s="1"/>
  <c r="CZ3" i="8" a="1"/>
  <c r="CZ3" i="8" s="1"/>
  <c r="AP3" i="8" a="1"/>
  <c r="AP3" i="8" s="1"/>
  <c r="AY3" i="8" a="1"/>
  <c r="AY3" i="8" s="1"/>
  <c r="BG3" i="8" a="1"/>
  <c r="BG3" i="8" s="1"/>
  <c r="BY3" i="8" a="1"/>
  <c r="BY3" i="8" s="1"/>
  <c r="CH3" i="8" a="1"/>
  <c r="CH3" i="8" s="1"/>
  <c r="DP3" i="8" a="1"/>
  <c r="DP3" i="8" s="1"/>
  <c r="DY3" i="8" a="1"/>
  <c r="DY3" i="8" s="1"/>
  <c r="EG3" i="8" a="1"/>
  <c r="EG3" i="8" s="1"/>
  <c r="EO3" i="8" a="1"/>
  <c r="EO3" i="8" s="1"/>
  <c r="EX3" i="8" a="1"/>
  <c r="EX3" i="8" s="1"/>
  <c r="FG3" i="8" a="1"/>
  <c r="FG3" i="8" s="1"/>
  <c r="FO3" i="8" a="1"/>
  <c r="FO3" i="8" s="1"/>
  <c r="FW3" i="8" a="1"/>
  <c r="FW3" i="8" s="1"/>
  <c r="GO3" i="8" a="1"/>
  <c r="GO3" i="8" s="1"/>
  <c r="GW3" i="8" a="1"/>
  <c r="GW3" i="8" s="1"/>
  <c r="HF3" i="8" a="1"/>
  <c r="HF3" i="8" s="1"/>
  <c r="HN3" i="8" a="1"/>
  <c r="HN3" i="8" s="1"/>
  <c r="IE3" i="8" a="1"/>
  <c r="IE3" i="8" s="1"/>
  <c r="JE3" i="8" a="1"/>
  <c r="JE3" i="8" s="1"/>
  <c r="JV3" i="8" a="1"/>
  <c r="JV3" i="8" s="1"/>
  <c r="KD3" i="8" a="1"/>
  <c r="KD3" i="8" s="1"/>
  <c r="KM3" i="8" a="1"/>
  <c r="KM3" i="8" s="1"/>
  <c r="LE3" i="8" a="1"/>
  <c r="LE3" i="8" s="1"/>
  <c r="LL3" i="8" a="1"/>
  <c r="LL3" i="8" s="1"/>
  <c r="LV3" i="8" a="1"/>
  <c r="LV3" i="8" s="1"/>
  <c r="MM3" i="8" a="1"/>
  <c r="MM3" i="8" s="1"/>
  <c r="MV3" i="8" a="1"/>
  <c r="MV3" i="8" s="1"/>
  <c r="NO3" i="8" a="1"/>
  <c r="NO3" i="8" s="1"/>
  <c r="NX3" i="8" a="1"/>
  <c r="NX3" i="8" s="1"/>
  <c r="OY3" i="8" a="1"/>
  <c r="OY3" i="8" s="1"/>
  <c r="PY3" i="8" a="1"/>
  <c r="PY3" i="8" s="1"/>
  <c r="QH3" i="8" a="1"/>
  <c r="QH3" i="8" s="1"/>
  <c r="QQ3" i="8" a="1"/>
  <c r="QQ3" i="8" s="1"/>
  <c r="RS3" i="8" a="1"/>
  <c r="RS3" i="8" s="1"/>
  <c r="SA3" i="8" a="1"/>
  <c r="SA3" i="8" s="1"/>
  <c r="SJ3" i="8" a="1"/>
  <c r="SJ3" i="8" s="1"/>
  <c r="SU3" i="8" a="1"/>
  <c r="SU3" i="8" s="1"/>
  <c r="TE3" i="8" a="1"/>
  <c r="TE3" i="8" s="1"/>
  <c r="UC3" i="8" a="1"/>
  <c r="UC3" i="8" s="1"/>
  <c r="HO3" i="8" a="1"/>
  <c r="HO3" i="8" s="1"/>
  <c r="HW3" i="8" a="1"/>
  <c r="HW3" i="8" s="1"/>
  <c r="IF3" i="8" a="1"/>
  <c r="IF3" i="8" s="1"/>
  <c r="IN3" i="8" a="1"/>
  <c r="IN3" i="8" s="1"/>
  <c r="IW3" i="8" a="1"/>
  <c r="IW3" i="8" s="1"/>
  <c r="JN3" i="8" a="1"/>
  <c r="JN3" i="8" s="1"/>
  <c r="JW3" i="8" a="1"/>
  <c r="JW3" i="8" s="1"/>
  <c r="KE3" i="8" a="1"/>
  <c r="KE3" i="8" s="1"/>
  <c r="KV3" i="8" a="1"/>
  <c r="KV3" i="8" s="1"/>
  <c r="LM3" i="8" a="1"/>
  <c r="LM3" i="8" s="1"/>
  <c r="MF3" i="8" a="1"/>
  <c r="MF3" i="8" s="1"/>
  <c r="MN3" i="8" a="1"/>
  <c r="MN3" i="8" s="1"/>
  <c r="MW3" i="8" a="1"/>
  <c r="MW3" i="8" s="1"/>
  <c r="NF3" i="8" a="1"/>
  <c r="NF3" i="8" s="1"/>
  <c r="NY3" i="8" a="1"/>
  <c r="NY3" i="8" s="1"/>
  <c r="OF3" i="8" a="1"/>
  <c r="OF3" i="8" s="1"/>
  <c r="OP3" i="8" a="1"/>
  <c r="OP3" i="8" s="1"/>
  <c r="PG3" i="8" a="1"/>
  <c r="PG3" i="8" s="1"/>
  <c r="PP3" i="8" a="1"/>
  <c r="PP3" i="8" s="1"/>
  <c r="QI3" i="8" a="1"/>
  <c r="QI3" i="8" s="1"/>
  <c r="QR3" i="8" a="1"/>
  <c r="QR3" i="8" s="1"/>
  <c r="QZ3" i="8" a="1"/>
  <c r="QZ3" i="8" s="1"/>
  <c r="RJ3" i="8" a="1"/>
  <c r="RJ3" i="8" s="1"/>
  <c r="SB3" i="8" a="1"/>
  <c r="SB3" i="8" s="1"/>
  <c r="SK3" i="8" a="1"/>
  <c r="SK3" i="8" s="1"/>
  <c r="SV3" i="8" a="1"/>
  <c r="SV3" i="8" s="1"/>
  <c r="TF3" i="8" a="1"/>
  <c r="TF3" i="8" s="1"/>
  <c r="TP3" i="8" a="1"/>
  <c r="TP3" i="8" s="1"/>
  <c r="FQ3" i="8" a="1"/>
  <c r="FQ3" i="8" s="1"/>
  <c r="FX3" i="8" a="1"/>
  <c r="FX3" i="8" s="1"/>
  <c r="GP3" i="8" a="1"/>
  <c r="GP3" i="8" s="1"/>
  <c r="HG3" i="8" a="1"/>
  <c r="HG3" i="8" s="1"/>
  <c r="HP3" i="8" a="1"/>
  <c r="HP3" i="8" s="1"/>
  <c r="HX3" i="8" a="1"/>
  <c r="HX3" i="8" s="1"/>
  <c r="IG3" i="8" a="1"/>
  <c r="IG3" i="8" s="1"/>
  <c r="IX3" i="8" a="1"/>
  <c r="IX3" i="8" s="1"/>
  <c r="JF3" i="8" a="1"/>
  <c r="JF3" i="8" s="1"/>
  <c r="JX3" i="8" a="1"/>
  <c r="JX3" i="8" s="1"/>
  <c r="KN3" i="8" a="1"/>
  <c r="KN3" i="8" s="1"/>
  <c r="LF3" i="8" a="1"/>
  <c r="LF3" i="8" s="1"/>
  <c r="LN3" i="8" a="1"/>
  <c r="LN3" i="8" s="1"/>
  <c r="LW3" i="8" a="1"/>
  <c r="LW3" i="8" s="1"/>
  <c r="MG3" i="8" a="1"/>
  <c r="MG3" i="8" s="1"/>
  <c r="MO3" i="8" a="1"/>
  <c r="MO3" i="8" s="1"/>
  <c r="MX3" i="8" a="1"/>
  <c r="MX3" i="8" s="1"/>
  <c r="NG3" i="8" a="1"/>
  <c r="NG3" i="8" s="1"/>
  <c r="NP3" i="8" a="1"/>
  <c r="NP3" i="8" s="1"/>
  <c r="OG3" i="8" a="1"/>
  <c r="OG3" i="8" s="1"/>
  <c r="OZ3" i="8" a="1"/>
  <c r="OZ3" i="8" s="1"/>
  <c r="PH3" i="8" a="1"/>
  <c r="PH3" i="8" s="1"/>
  <c r="PQ3" i="8" a="1"/>
  <c r="PQ3" i="8" s="1"/>
  <c r="PZ3" i="8" a="1"/>
  <c r="PZ3" i="8" s="1"/>
  <c r="QS3" i="8" a="1"/>
  <c r="QS3" i="8" s="1"/>
  <c r="RA3" i="8" a="1"/>
  <c r="RA3" i="8" s="1"/>
  <c r="RT3" i="8" a="1"/>
  <c r="RT3" i="8" s="1"/>
  <c r="SC3" i="8" a="1"/>
  <c r="SC3" i="8" s="1"/>
  <c r="SL3" i="8" a="1"/>
  <c r="SL3" i="8" s="1"/>
  <c r="SW3" i="8" a="1"/>
  <c r="SW3" i="8" s="1"/>
  <c r="UF3" i="8" a="1"/>
  <c r="UF3" i="8" s="1"/>
  <c r="AI3" i="8" a="1"/>
  <c r="AI3" i="8" s="1"/>
  <c r="BA3" i="8" a="1"/>
  <c r="BA3" i="8" s="1"/>
  <c r="BJ3" i="8" a="1"/>
  <c r="BJ3" i="8" s="1"/>
  <c r="CB3" i="8" a="1"/>
  <c r="CB3" i="8" s="1"/>
  <c r="CS3" i="8" a="1"/>
  <c r="CS3" i="8" s="1"/>
  <c r="DA3" i="8" a="1"/>
  <c r="DA3" i="8" s="1"/>
  <c r="DJ3" i="8" a="1"/>
  <c r="DJ3" i="8" s="1"/>
  <c r="DR3" i="8" a="1"/>
  <c r="DR3" i="8" s="1"/>
  <c r="EI3" i="8" a="1"/>
  <c r="EI3" i="8" s="1"/>
  <c r="EZ3" i="8" a="1"/>
  <c r="EZ3" i="8" s="1"/>
  <c r="FY3" i="8" a="1"/>
  <c r="FY3" i="8" s="1"/>
  <c r="GH3" i="8" a="1"/>
  <c r="GH3" i="8" s="1"/>
  <c r="GQ3" i="8" a="1"/>
  <c r="GQ3" i="8" s="1"/>
  <c r="GY3" i="8" a="1"/>
  <c r="GY3" i="8" s="1"/>
  <c r="HQ3" i="8" a="1"/>
  <c r="HQ3" i="8" s="1"/>
  <c r="IH3" i="8" a="1"/>
  <c r="IH3" i="8" s="1"/>
  <c r="IO3" i="8" a="1"/>
  <c r="IO3" i="8" s="1"/>
  <c r="IY3" i="8" a="1"/>
  <c r="IY3" i="8" s="1"/>
  <c r="JG3" i="8" a="1"/>
  <c r="JG3" i="8" s="1"/>
  <c r="JO3" i="8" a="1"/>
  <c r="JO3" i="8" s="1"/>
  <c r="KF3" i="8" a="1"/>
  <c r="KF3" i="8" s="1"/>
  <c r="KO3" i="8" a="1"/>
  <c r="KO3" i="8" s="1"/>
  <c r="KW3" i="8" a="1"/>
  <c r="KW3" i="8" s="1"/>
  <c r="LG3" i="8" a="1"/>
  <c r="LG3" i="8" s="1"/>
  <c r="LO3" i="8" a="1"/>
  <c r="LO3" i="8" s="1"/>
  <c r="LX3" i="8" a="1"/>
  <c r="LX3" i="8" s="1"/>
  <c r="MP3" i="8" a="1"/>
  <c r="MP3" i="8" s="1"/>
  <c r="MY3" i="8" a="1"/>
  <c r="MY3" i="8" s="1"/>
  <c r="NZ3" i="8" a="1"/>
  <c r="NZ3" i="8" s="1"/>
  <c r="OH3" i="8" a="1"/>
  <c r="OH3" i="8" s="1"/>
  <c r="OQ3" i="8" a="1"/>
  <c r="OQ3" i="8" s="1"/>
  <c r="PA3" i="8" a="1"/>
  <c r="PA3" i="8" s="1"/>
  <c r="PI3" i="8" a="1"/>
  <c r="PI3" i="8" s="1"/>
  <c r="PR3" i="8" a="1"/>
  <c r="PR3" i="8" s="1"/>
  <c r="QA3" i="8" a="1"/>
  <c r="QA3" i="8" s="1"/>
  <c r="QJ3" i="8" a="1"/>
  <c r="QJ3" i="8" s="1"/>
  <c r="RB3" i="8" a="1"/>
  <c r="RB3" i="8" s="1"/>
  <c r="RK3" i="8" a="1"/>
  <c r="RK3" i="8" s="1"/>
  <c r="RU3" i="8" a="1"/>
  <c r="RU3" i="8" s="1"/>
  <c r="TG3" i="8" a="1"/>
  <c r="TG3" i="8" s="1"/>
  <c r="UG3" i="8" a="1"/>
  <c r="UG3" i="8" s="1"/>
  <c r="DK3" i="8" a="1"/>
  <c r="DK3" i="8" s="1"/>
  <c r="DS3" i="8" a="1"/>
  <c r="DS3" i="8" s="1"/>
  <c r="EA3" i="8" a="1"/>
  <c r="EA3" i="8" s="1"/>
  <c r="EJ3" i="8" a="1"/>
  <c r="EJ3" i="8" s="1"/>
  <c r="ER3" i="8" a="1"/>
  <c r="ER3" i="8" s="1"/>
  <c r="FA3" i="8" a="1"/>
  <c r="FA3" i="8" s="1"/>
  <c r="FI3" i="8" a="1"/>
  <c r="FI3" i="8" s="1"/>
  <c r="FR3" i="8" a="1"/>
  <c r="FR3" i="8" s="1"/>
  <c r="FZ3" i="8" a="1"/>
  <c r="FZ3" i="8" s="1"/>
  <c r="GI3" i="8" a="1"/>
  <c r="GI3" i="8" s="1"/>
  <c r="GZ3" i="8" a="1"/>
  <c r="GZ3" i="8" s="1"/>
  <c r="HH3" i="8" a="1"/>
  <c r="HH3" i="8" s="1"/>
  <c r="HY3" i="8" a="1"/>
  <c r="HY3" i="8" s="1"/>
  <c r="IP3" i="8" a="1"/>
  <c r="IP3" i="8" s="1"/>
  <c r="IZ3" i="8" a="1"/>
  <c r="IZ3" i="8" s="1"/>
  <c r="JH3" i="8" a="1"/>
  <c r="JH3" i="8" s="1"/>
  <c r="JY3" i="8" a="1"/>
  <c r="JY3" i="8" s="1"/>
  <c r="KG3" i="8" a="1"/>
  <c r="KG3" i="8" s="1"/>
  <c r="KP3" i="8" a="1"/>
  <c r="KP3" i="8" s="1"/>
  <c r="KX3" i="8" a="1"/>
  <c r="KX3" i="8" s="1"/>
  <c r="LP3" i="8" a="1"/>
  <c r="LP3" i="8" s="1"/>
  <c r="LY3" i="8" a="1"/>
  <c r="LY3" i="8" s="1"/>
  <c r="MH3" i="8" a="1"/>
  <c r="MH3" i="8" s="1"/>
  <c r="MQ3" i="8" a="1"/>
  <c r="MQ3" i="8" s="1"/>
  <c r="NH3" i="8" a="1"/>
  <c r="NH3" i="8" s="1"/>
  <c r="NQ3" i="8" a="1"/>
  <c r="NQ3" i="8" s="1"/>
  <c r="OA3" i="8" a="1"/>
  <c r="OA3" i="8" s="1"/>
  <c r="OI3" i="8" a="1"/>
  <c r="OI3" i="8" s="1"/>
  <c r="OR3" i="8" a="1"/>
  <c r="OR3" i="8" s="1"/>
  <c r="PJ3" i="8" a="1"/>
  <c r="PJ3" i="8" s="1"/>
  <c r="PS3" i="8" a="1"/>
  <c r="PS3" i="8" s="1"/>
  <c r="QT3" i="8" a="1"/>
  <c r="QT3" i="8" s="1"/>
  <c r="RC3" i="8" a="1"/>
  <c r="RC3" i="8" s="1"/>
  <c r="RL3" i="8" a="1"/>
  <c r="RL3" i="8" s="1"/>
  <c r="SE3" i="8" a="1"/>
  <c r="SE3" i="8" s="1"/>
  <c r="SN3" i="8" a="1"/>
  <c r="SN3" i="8" s="1"/>
  <c r="SX3" i="8" a="1"/>
  <c r="SX3" i="8" s="1"/>
  <c r="TH3" i="8" a="1"/>
  <c r="TH3" i="8" s="1"/>
  <c r="TR3" i="8" a="1"/>
  <c r="TR3" i="8" s="1"/>
  <c r="UJ3" i="8" a="1"/>
  <c r="UJ3" i="8" s="1"/>
  <c r="BC3" i="8" a="1"/>
  <c r="BC3" i="8" s="1"/>
  <c r="BK3" i="8" a="1"/>
  <c r="BK3" i="8" s="1"/>
  <c r="CL3" i="8" a="1"/>
  <c r="CL3" i="8" s="1"/>
  <c r="DB3" i="8" a="1"/>
  <c r="DB3" i="8" s="1"/>
  <c r="DL3" i="8" a="1"/>
  <c r="DL3" i="8" s="1"/>
  <c r="DT3" i="8" a="1"/>
  <c r="DT3" i="8" s="1"/>
  <c r="ES3" i="8" a="1"/>
  <c r="ES3" i="8" s="1"/>
  <c r="FJ3" i="8" a="1"/>
  <c r="FJ3" i="8" s="1"/>
  <c r="FS3" i="8" a="1"/>
  <c r="FS3" i="8" s="1"/>
  <c r="GA3" i="8" a="1"/>
  <c r="GA3" i="8" s="1"/>
  <c r="GJ3" i="8" a="1"/>
  <c r="GJ3" i="8" s="1"/>
  <c r="GR3" i="8" a="1"/>
  <c r="GR3" i="8" s="1"/>
  <c r="HA3" i="8" a="1"/>
  <c r="HA3" i="8" s="1"/>
  <c r="HI3" i="8" a="1"/>
  <c r="HI3" i="8" s="1"/>
  <c r="HR3" i="8" a="1"/>
  <c r="HR3" i="8" s="1"/>
  <c r="HZ3" i="8" a="1"/>
  <c r="HZ3" i="8" s="1"/>
  <c r="II3" i="8" a="1"/>
  <c r="II3" i="8" s="1"/>
  <c r="IQ3" i="8" a="1"/>
  <c r="IQ3" i="8" s="1"/>
  <c r="JI3" i="8" a="1"/>
  <c r="JI3" i="8" s="1"/>
  <c r="JP3" i="8" a="1"/>
  <c r="JP3" i="8" s="1"/>
  <c r="JZ3" i="8" a="1"/>
  <c r="JZ3" i="8" s="1"/>
  <c r="KH3" i="8" a="1"/>
  <c r="KH3" i="8" s="1"/>
  <c r="LH3" i="8" a="1"/>
  <c r="LH3" i="8" s="1"/>
  <c r="LQ3" i="8" a="1"/>
  <c r="LQ3" i="8" s="1"/>
  <c r="MR3" i="8" a="1"/>
  <c r="MR3" i="8" s="1"/>
  <c r="MZ3" i="8" a="1"/>
  <c r="MZ3" i="8" s="1"/>
  <c r="NI3" i="8" a="1"/>
  <c r="NI3" i="8" s="1"/>
  <c r="NR3" i="8" a="1"/>
  <c r="NR3" i="8" s="1"/>
  <c r="OJ3" i="8" a="1"/>
  <c r="OJ3" i="8" s="1"/>
  <c r="OS3" i="8" a="1"/>
  <c r="OS3" i="8" s="1"/>
  <c r="PB3" i="8" a="1"/>
  <c r="PB3" i="8" s="1"/>
  <c r="PK3" i="8" a="1"/>
  <c r="PK3" i="8" s="1"/>
  <c r="QB3" i="8" a="1"/>
  <c r="QB3" i="8" s="1"/>
  <c r="QK3" i="8" a="1"/>
  <c r="QK3" i="8" s="1"/>
  <c r="QU3" i="8" a="1"/>
  <c r="QU3" i="8" s="1"/>
  <c r="RM3" i="8" a="1"/>
  <c r="RM3" i="8" s="1"/>
  <c r="SF3" i="8" a="1"/>
  <c r="SF3" i="8" s="1"/>
  <c r="SO3" i="8" a="1"/>
  <c r="SO3" i="8" s="1"/>
  <c r="SY3" i="8" a="1"/>
  <c r="SY3" i="8" s="1"/>
  <c r="TJ3" i="8" a="1"/>
  <c r="TJ3" i="8" s="1"/>
  <c r="AJ3" i="8" a="1"/>
  <c r="AJ3" i="8" s="1"/>
  <c r="K3" i="8" a="1"/>
  <c r="K3" i="8" s="1"/>
  <c r="AC3" i="8" a="1"/>
  <c r="AC3" i="8" s="1"/>
  <c r="AK3" i="8" a="1"/>
  <c r="AK3" i="8" s="1"/>
  <c r="AT3" i="8" a="1"/>
  <c r="AT3" i="8" s="1"/>
  <c r="BL3" i="8" a="1"/>
  <c r="BL3" i="8" s="1"/>
  <c r="BT3" i="8" a="1"/>
  <c r="BT3" i="8" s="1"/>
  <c r="CD3" i="8" a="1"/>
  <c r="CD3" i="8" s="1"/>
  <c r="CM3" i="8" a="1"/>
  <c r="CM3" i="8" s="1"/>
  <c r="CU3" i="8" a="1"/>
  <c r="CU3" i="8" s="1"/>
  <c r="DC3" i="8" a="1"/>
  <c r="DC3" i="8" s="1"/>
  <c r="EB3" i="8" a="1"/>
  <c r="EB3" i="8" s="1"/>
  <c r="EK3" i="8" a="1"/>
  <c r="EK3" i="8" s="1"/>
  <c r="ET3" i="8" a="1"/>
  <c r="ET3" i="8" s="1"/>
  <c r="FB3" i="8" a="1"/>
  <c r="FB3" i="8" s="1"/>
  <c r="GK3" i="8" a="1"/>
  <c r="GK3" i="8" s="1"/>
  <c r="GS3" i="8" a="1"/>
  <c r="GS3" i="8" s="1"/>
  <c r="HS3" i="8" a="1"/>
  <c r="HS3" i="8" s="1"/>
  <c r="IA3" i="8" a="1"/>
  <c r="IA3" i="8" s="1"/>
  <c r="JA3" i="8" a="1"/>
  <c r="JA3" i="8" s="1"/>
  <c r="JQ3" i="8" a="1"/>
  <c r="JQ3" i="8" s="1"/>
  <c r="KI3" i="8" a="1"/>
  <c r="KI3" i="8" s="1"/>
  <c r="KQ3" i="8" a="1"/>
  <c r="KQ3" i="8" s="1"/>
  <c r="KY3" i="8" a="1"/>
  <c r="KY3" i="8" s="1"/>
  <c r="LR3" i="8" a="1"/>
  <c r="LR3" i="8" s="1"/>
  <c r="LZ3" i="8" a="1"/>
  <c r="LZ3" i="8" s="1"/>
  <c r="MI3" i="8" a="1"/>
  <c r="MI3" i="8" s="1"/>
  <c r="NA3" i="8" a="1"/>
  <c r="NA3" i="8" s="1"/>
  <c r="NJ3" i="8" a="1"/>
  <c r="NJ3" i="8" s="1"/>
  <c r="OB3" i="8" a="1"/>
  <c r="OB3" i="8" s="1"/>
  <c r="OK3" i="8" a="1"/>
  <c r="OK3" i="8" s="1"/>
  <c r="PL3" i="8" a="1"/>
  <c r="PL3" i="8" s="1"/>
  <c r="PT3" i="8" a="1"/>
  <c r="PT3" i="8" s="1"/>
  <c r="QC3" i="8" a="1"/>
  <c r="QC3" i="8" s="1"/>
  <c r="QL3" i="8" a="1"/>
  <c r="QL3" i="8" s="1"/>
  <c r="RD3" i="8" a="1"/>
  <c r="RD3" i="8" s="1"/>
  <c r="RN3" i="8" a="1"/>
  <c r="RN3" i="8" s="1"/>
  <c r="RW3" i="8" a="1"/>
  <c r="RW3" i="8" s="1"/>
  <c r="SP3" i="8" a="1"/>
  <c r="SP3" i="8" s="1"/>
  <c r="SZ3" i="8" a="1"/>
  <c r="SZ3" i="8" s="1"/>
  <c r="TU3" i="8" a="1"/>
  <c r="TU3" i="8" s="1"/>
  <c r="BU3" i="8" a="1"/>
  <c r="BU3" i="8" s="1"/>
  <c r="CE3" i="8" a="1"/>
  <c r="CE3" i="8" s="1"/>
  <c r="CV3" i="8" a="1"/>
  <c r="CV3" i="8" s="1"/>
  <c r="DM3" i="8" a="1"/>
  <c r="DM3" i="8" s="1"/>
  <c r="DU3" i="8" a="1"/>
  <c r="DU3" i="8" s="1"/>
  <c r="EC3" i="8" a="1"/>
  <c r="EC3" i="8" s="1"/>
  <c r="EL3" i="8" a="1"/>
  <c r="EL3" i="8" s="1"/>
  <c r="EU3" i="8" a="1"/>
  <c r="EU3" i="8" s="1"/>
  <c r="FC3" i="8" a="1"/>
  <c r="FC3" i="8" s="1"/>
  <c r="FK3" i="8" a="1"/>
  <c r="FK3" i="8" s="1"/>
  <c r="FT3" i="8" a="1"/>
  <c r="FT3" i="8" s="1"/>
  <c r="GB3" i="8" a="1"/>
  <c r="GB3" i="8" s="1"/>
  <c r="HB3" i="8" a="1"/>
  <c r="HB3" i="8" s="1"/>
  <c r="HJ3" i="8" a="1"/>
  <c r="HJ3" i="8" s="1"/>
  <c r="IJ3" i="8" a="1"/>
  <c r="IJ3" i="8" s="1"/>
  <c r="IR3" i="8" a="1"/>
  <c r="IR3" i="8" s="1"/>
  <c r="JJ3" i="8" a="1"/>
  <c r="JJ3" i="8" s="1"/>
  <c r="JR3" i="8" a="1"/>
  <c r="JR3" i="8" s="1"/>
  <c r="KA3" i="8" a="1"/>
  <c r="KA3" i="8" s="1"/>
  <c r="KR3" i="8" a="1"/>
  <c r="KR3" i="8" s="1"/>
  <c r="KZ3" i="8" a="1"/>
  <c r="KZ3" i="8" s="1"/>
  <c r="LI3" i="8" a="1"/>
  <c r="LI3" i="8" s="1"/>
  <c r="LS3" i="8" a="1"/>
  <c r="LS3" i="8" s="1"/>
  <c r="MA3" i="8" a="1"/>
  <c r="MA3" i="8" s="1"/>
  <c r="MS3" i="8" a="1"/>
  <c r="MS3" i="8" s="1"/>
  <c r="NB3" i="8" a="1"/>
  <c r="NB3" i="8" s="1"/>
  <c r="NK3" i="8" a="1"/>
  <c r="NK3" i="8" s="1"/>
  <c r="NS3" i="8" a="1"/>
  <c r="NS3" i="8" s="1"/>
  <c r="OL3" i="8" a="1"/>
  <c r="OL3" i="8" s="1"/>
  <c r="OT3" i="8" a="1"/>
  <c r="OT3" i="8" s="1"/>
  <c r="PC3" i="8" a="1"/>
  <c r="PC3" i="8" s="1"/>
  <c r="PU3" i="8" a="1"/>
  <c r="PU3" i="8" s="1"/>
  <c r="QD3" i="8" a="1"/>
  <c r="QD3" i="8" s="1"/>
  <c r="QV3" i="8" a="1"/>
  <c r="QV3" i="8" s="1"/>
  <c r="RF3" i="8" a="1"/>
  <c r="RF3" i="8" s="1"/>
  <c r="RO3" i="8" a="1"/>
  <c r="RO3" i="8" s="1"/>
  <c r="SG3" i="8" a="1"/>
  <c r="SG3" i="8" s="1"/>
  <c r="SQ3" i="8" a="1"/>
  <c r="SQ3" i="8" s="1"/>
  <c r="TA3" i="8" a="1"/>
  <c r="TA3" i="8" s="1"/>
  <c r="TK3" i="8" a="1"/>
  <c r="TK3" i="8" s="1"/>
  <c r="TV3" i="8" a="1"/>
  <c r="TV3" i="8" s="1"/>
  <c r="CN3" i="8" a="1"/>
  <c r="CN3" i="8" s="1"/>
  <c r="CW3" i="8" a="1"/>
  <c r="CW3" i="8" s="1"/>
  <c r="DD3" i="8" a="1"/>
  <c r="DD3" i="8" s="1"/>
  <c r="DV3" i="8" a="1"/>
  <c r="DV3" i="8" s="1"/>
  <c r="ED3" i="8" a="1"/>
  <c r="ED3" i="8" s="1"/>
  <c r="FD3" i="8" a="1"/>
  <c r="FD3" i="8" s="1"/>
  <c r="FL3" i="8" a="1"/>
  <c r="FL3" i="8" s="1"/>
  <c r="GC3" i="8" a="1"/>
  <c r="GC3" i="8" s="1"/>
  <c r="GL3" i="8" a="1"/>
  <c r="GL3" i="8" s="1"/>
  <c r="GT3" i="8" a="1"/>
  <c r="GT3" i="8" s="1"/>
  <c r="HC3" i="8" a="1"/>
  <c r="HC3" i="8" s="1"/>
  <c r="HK3" i="8" a="1"/>
  <c r="HK3" i="8" s="1"/>
  <c r="HT3" i="8" a="1"/>
  <c r="HT3" i="8" s="1"/>
  <c r="IB3" i="8" a="1"/>
  <c r="IB3" i="8" s="1"/>
  <c r="IK3" i="8" a="1"/>
  <c r="IK3" i="8" s="1"/>
  <c r="IS3" i="8" a="1"/>
  <c r="IS3" i="8" s="1"/>
  <c r="JB3" i="8" a="1"/>
  <c r="JB3" i="8" s="1"/>
  <c r="JK3" i="8" a="1"/>
  <c r="JK3" i="8" s="1"/>
  <c r="KJ3" i="8" a="1"/>
  <c r="KJ3" i="8" s="1"/>
  <c r="LA3" i="8" a="1"/>
  <c r="LA3" i="8" s="1"/>
  <c r="LT3" i="8" a="1"/>
  <c r="LT3" i="8" s="1"/>
  <c r="MB3" i="8" a="1"/>
  <c r="MB3" i="8" s="1"/>
  <c r="MJ3" i="8" a="1"/>
  <c r="MJ3" i="8" s="1"/>
  <c r="MT3" i="8" a="1"/>
  <c r="MT3" i="8" s="1"/>
  <c r="NC3" i="8" a="1"/>
  <c r="NC3" i="8" s="1"/>
  <c r="NL3" i="8" a="1"/>
  <c r="NL3" i="8" s="1"/>
  <c r="NT3" i="8" a="1"/>
  <c r="NT3" i="8" s="1"/>
  <c r="OC3" i="8" a="1"/>
  <c r="OC3" i="8" s="1"/>
  <c r="OM3" i="8" a="1"/>
  <c r="OM3" i="8" s="1"/>
  <c r="OU3" i="8" a="1"/>
  <c r="OU3" i="8" s="1"/>
  <c r="PM3" i="8" a="1"/>
  <c r="PM3" i="8" s="1"/>
  <c r="PV3" i="8" a="1"/>
  <c r="PV3" i="8" s="1"/>
  <c r="QE3" i="8" a="1"/>
  <c r="QE3" i="8" s="1"/>
  <c r="QM3" i="8" a="1"/>
  <c r="QM3" i="8" s="1"/>
  <c r="QW3" i="8" a="1"/>
  <c r="QW3" i="8" s="1"/>
  <c r="RG3" i="8" a="1"/>
  <c r="RG3" i="8" s="1"/>
  <c r="RP3" i="8" a="1"/>
  <c r="RP3" i="8" s="1"/>
  <c r="RX3" i="8" a="1"/>
  <c r="RX3" i="8" s="1"/>
  <c r="SH3" i="8" a="1"/>
  <c r="SH3" i="8" s="1"/>
  <c r="TB3" i="8" a="1"/>
  <c r="TB3" i="8" s="1"/>
  <c r="TL3" i="8" a="1"/>
  <c r="TL3" i="8" s="1"/>
  <c r="M3" i="8" a="1"/>
  <c r="M3" i="8" s="1"/>
  <c r="V3" i="8" a="1"/>
  <c r="V3" i="8" s="1"/>
  <c r="AE3" i="8" a="1"/>
  <c r="AE3" i="8" s="1"/>
  <c r="AW3" i="8" a="1"/>
  <c r="AW3" i="8" s="1"/>
  <c r="BN3" i="8" a="1"/>
  <c r="BN3" i="8" s="1"/>
  <c r="BW3" i="8" a="1"/>
  <c r="BW3" i="8" s="1"/>
  <c r="CF3" i="8" a="1"/>
  <c r="CF3" i="8" s="1"/>
  <c r="DE3" i="8" a="1"/>
  <c r="DE3" i="8" s="1"/>
  <c r="DN3" i="8" a="1"/>
  <c r="DN3" i="8" s="1"/>
  <c r="DW3" i="8" a="1"/>
  <c r="DW3" i="8" s="1"/>
  <c r="EM3" i="8" a="1"/>
  <c r="EM3" i="8" s="1"/>
  <c r="EV3" i="8" a="1"/>
  <c r="EV3" i="8" s="1"/>
  <c r="FM3" i="8" a="1"/>
  <c r="FM3" i="8" s="1"/>
  <c r="FU3" i="8" a="1"/>
  <c r="FU3" i="8" s="1"/>
  <c r="GD3" i="8" a="1"/>
  <c r="GD3" i="8" s="1"/>
  <c r="GM3" i="8" a="1"/>
  <c r="GM3" i="8" s="1"/>
  <c r="HD3" i="8" a="1"/>
  <c r="HD3" i="8" s="1"/>
  <c r="HU3" i="8" a="1"/>
  <c r="HU3" i="8" s="1"/>
  <c r="IC3" i="8" a="1"/>
  <c r="IC3" i="8" s="1"/>
  <c r="IT3" i="8" a="1"/>
  <c r="IT3" i="8" s="1"/>
  <c r="JS3" i="8" a="1"/>
  <c r="JS3" i="8" s="1"/>
  <c r="KB3" i="8" a="1"/>
  <c r="KB3" i="8" s="1"/>
  <c r="KK3" i="8" a="1"/>
  <c r="KK3" i="8" s="1"/>
  <c r="KS3" i="8" a="1"/>
  <c r="KS3" i="8" s="1"/>
  <c r="LB3" i="8" a="1"/>
  <c r="LB3" i="8" s="1"/>
  <c r="LJ3" i="8" a="1"/>
  <c r="LJ3" i="8" s="1"/>
  <c r="MC3" i="8" a="1"/>
  <c r="MC3" i="8" s="1"/>
  <c r="MK3" i="8" a="1"/>
  <c r="MK3" i="8" s="1"/>
  <c r="NU3" i="8" a="1"/>
  <c r="NU3" i="8" s="1"/>
  <c r="ON3" i="8" a="1"/>
  <c r="ON3" i="8" s="1"/>
  <c r="OV3" i="8" a="1"/>
  <c r="OV3" i="8" s="1"/>
  <c r="PD3" i="8" a="1"/>
  <c r="PD3" i="8" s="1"/>
  <c r="PN3" i="8" a="1"/>
  <c r="PN3" i="8" s="1"/>
  <c r="PW3" i="8" a="1"/>
  <c r="PW3" i="8" s="1"/>
  <c r="QF3" i="8" a="1"/>
  <c r="QF3" i="8" s="1"/>
  <c r="QN3" i="8" a="1"/>
  <c r="QN3" i="8" s="1"/>
  <c r="RH3" i="8" a="1"/>
  <c r="RH3" i="8" s="1"/>
  <c r="RY3" i="8" a="1"/>
  <c r="RY3" i="8" s="1"/>
  <c r="SS3" i="8" a="1"/>
  <c r="SS3" i="8" s="1"/>
  <c r="TC3" i="8" a="1"/>
  <c r="TC3" i="8" s="1"/>
  <c r="TX3" i="8" a="1"/>
  <c r="TX3" i="8" s="1"/>
  <c r="BO3" i="8" a="1"/>
  <c r="BO3" i="8" s="1"/>
  <c r="CG3" i="8" a="1"/>
  <c r="CG3" i="8" s="1"/>
  <c r="CO3" i="8" a="1"/>
  <c r="CO3" i="8" s="1"/>
  <c r="CX3" i="8" a="1"/>
  <c r="CX3" i="8" s="1"/>
  <c r="DF3" i="8" a="1"/>
  <c r="DF3" i="8" s="1"/>
  <c r="EE3" i="8" a="1"/>
  <c r="EE3" i="8" s="1"/>
  <c r="EW3" i="8" a="1"/>
  <c r="EW3" i="8" s="1"/>
  <c r="FE3" i="8" a="1"/>
  <c r="FE3" i="8" s="1"/>
  <c r="FN3" i="8" a="1"/>
  <c r="FN3" i="8" s="1"/>
  <c r="GE3" i="8" a="1"/>
  <c r="GE3" i="8" s="1"/>
  <c r="GN3" i="8" a="1"/>
  <c r="GN3" i="8" s="1"/>
  <c r="GU3" i="8" a="1"/>
  <c r="GU3" i="8" s="1"/>
  <c r="HL3" i="8" a="1"/>
  <c r="HL3" i="8" s="1"/>
  <c r="ID3" i="8" a="1"/>
  <c r="ID3" i="8" s="1"/>
  <c r="IL3" i="8" a="1"/>
  <c r="IL3" i="8" s="1"/>
  <c r="IU3" i="8" a="1"/>
  <c r="IU3" i="8" s="1"/>
  <c r="JC3" i="8" a="1"/>
  <c r="JC3" i="8" s="1"/>
  <c r="JL3" i="8" a="1"/>
  <c r="JL3" i="8" s="1"/>
  <c r="JT3" i="8" a="1"/>
  <c r="JT3" i="8" s="1"/>
  <c r="KC3" i="8" a="1"/>
  <c r="KC3" i="8" s="1"/>
  <c r="KT3" i="8" a="1"/>
  <c r="KT3" i="8" s="1"/>
  <c r="LC3" i="8" a="1"/>
  <c r="LC3" i="8" s="1"/>
  <c r="LK3" i="8" a="1"/>
  <c r="LK3" i="8" s="1"/>
  <c r="LU3" i="8" a="1"/>
  <c r="LU3" i="8" s="1"/>
  <c r="MD3" i="8" a="1"/>
  <c r="MD3" i="8" s="1"/>
  <c r="ML3" i="8" a="1"/>
  <c r="ML3" i="8" s="1"/>
  <c r="MU3" i="8" a="1"/>
  <c r="MU3" i="8" s="1"/>
  <c r="ND3" i="8" a="1"/>
  <c r="ND3" i="8" s="1"/>
  <c r="NM3" i="8" a="1"/>
  <c r="NM3" i="8" s="1"/>
  <c r="NV3" i="8" a="1"/>
  <c r="NV3" i="8" s="1"/>
  <c r="OD3" i="8" a="1"/>
  <c r="OD3" i="8" s="1"/>
  <c r="OW3" i="8" a="1"/>
  <c r="OW3" i="8" s="1"/>
  <c r="PE3" i="8" a="1"/>
  <c r="PE3" i="8" s="1"/>
  <c r="QO3" i="8" a="1"/>
  <c r="QO3" i="8" s="1"/>
  <c r="QX3" i="8" a="1"/>
  <c r="QX3" i="8" s="1"/>
  <c r="RQ3" i="8" a="1"/>
  <c r="RQ3" i="8" s="1"/>
  <c r="RZ3" i="8" a="1"/>
  <c r="RZ3" i="8" s="1"/>
  <c r="SI3" i="8" a="1"/>
  <c r="SI3" i="8" s="1"/>
  <c r="TN3" i="8" a="1"/>
  <c r="TN3" i="8" s="1"/>
  <c r="UA3" i="8" a="1"/>
  <c r="UA3" i="8" s="1"/>
  <c r="VI3" i="8" a="1"/>
  <c r="VI3" i="8" s="1"/>
  <c r="CP3" i="8" a="1"/>
  <c r="CP3" i="8" s="1"/>
  <c r="CY3" i="8" a="1"/>
  <c r="CY3" i="8" s="1"/>
  <c r="DG3" i="8" a="1"/>
  <c r="DG3" i="8" s="1"/>
  <c r="DO3" i="8" a="1"/>
  <c r="DO3" i="8" s="1"/>
  <c r="DX3" i="8" a="1"/>
  <c r="DX3" i="8" s="1"/>
  <c r="EF3" i="8" a="1"/>
  <c r="EF3" i="8" s="1"/>
  <c r="EN3" i="8" a="1"/>
  <c r="EN3" i="8" s="1"/>
  <c r="FF3" i="8" a="1"/>
  <c r="FF3" i="8" s="1"/>
  <c r="FV3" i="8" a="1"/>
  <c r="FV3" i="8" s="1"/>
  <c r="GF3" i="8" a="1"/>
  <c r="GF3" i="8" s="1"/>
  <c r="GV3" i="8" a="1"/>
  <c r="GV3" i="8" s="1"/>
  <c r="HE3" i="8" a="1"/>
  <c r="HE3" i="8" s="1"/>
  <c r="HM3" i="8" a="1"/>
  <c r="HM3" i="8" s="1"/>
  <c r="HV3" i="8" a="1"/>
  <c r="HV3" i="8" s="1"/>
  <c r="IM3" i="8" a="1"/>
  <c r="IM3" i="8" s="1"/>
  <c r="IV3" i="8" a="1"/>
  <c r="IV3" i="8" s="1"/>
  <c r="JD3" i="8" a="1"/>
  <c r="JD3" i="8" s="1"/>
  <c r="JM3" i="8" a="1"/>
  <c r="JM3" i="8" s="1"/>
  <c r="JU3" i="8" a="1"/>
  <c r="JU3" i="8" s="1"/>
  <c r="KL3" i="8" a="1"/>
  <c r="KL3" i="8" s="1"/>
  <c r="KU3" i="8" a="1"/>
  <c r="KU3" i="8" s="1"/>
  <c r="LD3" i="8" a="1"/>
  <c r="LD3" i="8" s="1"/>
  <c r="ME3" i="8" a="1"/>
  <c r="ME3" i="8" s="1"/>
  <c r="NE3" i="8" a="1"/>
  <c r="NE3" i="8" s="1"/>
  <c r="NN3" i="8" a="1"/>
  <c r="NN3" i="8" s="1"/>
  <c r="NW3" i="8" a="1"/>
  <c r="NW3" i="8" s="1"/>
  <c r="OE3" i="8" a="1"/>
  <c r="OE3" i="8" s="1"/>
  <c r="OO3" i="8" a="1"/>
  <c r="OO3" i="8" s="1"/>
  <c r="OX3" i="8" a="1"/>
  <c r="OX3" i="8" s="1"/>
  <c r="PF3" i="8" a="1"/>
  <c r="PF3" i="8" s="1"/>
  <c r="PO3" i="8" a="1"/>
  <c r="PO3" i="8" s="1"/>
  <c r="PX3" i="8" a="1"/>
  <c r="PX3" i="8" s="1"/>
  <c r="QG3" i="8" a="1"/>
  <c r="QG3" i="8" s="1"/>
  <c r="QP3" i="8" a="1"/>
  <c r="QP3" i="8" s="1"/>
  <c r="QY3" i="8" a="1"/>
  <c r="QY3" i="8" s="1"/>
  <c r="RI3" i="8" a="1"/>
  <c r="RI3" i="8" s="1"/>
  <c r="RR3" i="8" a="1"/>
  <c r="RR3" i="8" s="1"/>
  <c r="ST3" i="8" a="1"/>
  <c r="ST3" i="8" s="1"/>
  <c r="TO3" i="8" a="1"/>
  <c r="TO3" i="8" s="1"/>
  <c r="UB3" i="8" a="1"/>
  <c r="UB3" i="8" s="1"/>
  <c r="ZR3" i="8" a="1"/>
  <c r="ZR3" i="8" s="1"/>
  <c r="ZJ3" i="8" a="1"/>
  <c r="ZJ3" i="8" s="1"/>
  <c r="ZB3" i="8" a="1"/>
  <c r="ZB3" i="8" s="1"/>
  <c r="YT3" i="8" a="1"/>
  <c r="YT3" i="8" s="1"/>
  <c r="YD3" i="8" a="1"/>
  <c r="YD3" i="8" s="1"/>
  <c r="XU3" i="8" a="1"/>
  <c r="XU3" i="8" s="1"/>
  <c r="XM3" i="8" a="1"/>
  <c r="XM3" i="8" s="1"/>
  <c r="XE3" i="8" a="1"/>
  <c r="XE3" i="8" s="1"/>
  <c r="WN3" i="8" a="1"/>
  <c r="WN3" i="8" s="1"/>
  <c r="VP3" i="8" a="1"/>
  <c r="VP3" i="8" s="1"/>
  <c r="VH3" i="8" a="1"/>
  <c r="VH3" i="8" s="1"/>
  <c r="UZ3" i="8" a="1"/>
  <c r="UZ3" i="8" s="1"/>
  <c r="UQ3" i="8" a="1"/>
  <c r="UQ3" i="8" s="1"/>
  <c r="UI3" i="8" a="1"/>
  <c r="UI3" i="8" s="1"/>
  <c r="ZI3" i="8" a="1"/>
  <c r="ZI3" i="8" s="1"/>
  <c r="YK3" i="8" a="1"/>
  <c r="YK3" i="8" s="1"/>
  <c r="YC3" i="8" a="1"/>
  <c r="YC3" i="8" s="1"/>
  <c r="XL3" i="8" a="1"/>
  <c r="XL3" i="8" s="1"/>
  <c r="WW3" i="8" a="1"/>
  <c r="WW3" i="8" s="1"/>
  <c r="WG3" i="8" a="1"/>
  <c r="WG3" i="8" s="1"/>
  <c r="VX3" i="8" a="1"/>
  <c r="VX3" i="8" s="1"/>
  <c r="UY3" i="8" a="1"/>
  <c r="UY3" i="8" s="1"/>
  <c r="UH3" i="8" a="1"/>
  <c r="UH3" i="8" s="1"/>
  <c r="TZ3" i="8" a="1"/>
  <c r="TZ3" i="8" s="1"/>
  <c r="TQ3" i="8" a="1"/>
  <c r="TQ3" i="8" s="1"/>
  <c r="TI3" i="8" a="1"/>
  <c r="TI3" i="8" s="1"/>
  <c r="SR3" i="8" a="1"/>
  <c r="SR3" i="8" s="1"/>
  <c r="ZY3" i="8" a="1"/>
  <c r="ZY3" i="8" s="1"/>
  <c r="ZQ3" i="8" a="1"/>
  <c r="ZQ3" i="8" s="1"/>
  <c r="ZH3" i="8" a="1"/>
  <c r="ZH3" i="8" s="1"/>
  <c r="ZA3" i="8" a="1"/>
  <c r="ZA3" i="8" s="1"/>
  <c r="YS3" i="8" a="1"/>
  <c r="YS3" i="8" s="1"/>
  <c r="YJ3" i="8" a="1"/>
  <c r="YJ3" i="8" s="1"/>
  <c r="YB3" i="8" a="1"/>
  <c r="YB3" i="8" s="1"/>
  <c r="XT3" i="8" a="1"/>
  <c r="XT3" i="8" s="1"/>
  <c r="XD3" i="8" a="1"/>
  <c r="XD3" i="8" s="1"/>
  <c r="WM3" i="8" a="1"/>
  <c r="WM3" i="8" s="1"/>
  <c r="WF3" i="8" a="1"/>
  <c r="WF3" i="8" s="1"/>
  <c r="VO3" i="8" a="1"/>
  <c r="VO3" i="8" s="1"/>
  <c r="VG3" i="8" a="1"/>
  <c r="VG3" i="8" s="1"/>
  <c r="UX3" i="8" a="1"/>
  <c r="UX3" i="8" s="1"/>
  <c r="UP3" i="8" a="1"/>
  <c r="UP3" i="8" s="1"/>
  <c r="TY3" i="8" a="1"/>
  <c r="TY3" i="8" s="1"/>
  <c r="YZ3" i="8" a="1"/>
  <c r="YZ3" i="8" s="1"/>
  <c r="YR3" i="8" a="1"/>
  <c r="YR3" i="8" s="1"/>
  <c r="XK3" i="8" a="1"/>
  <c r="XK3" i="8" s="1"/>
  <c r="XC3" i="8" a="1"/>
  <c r="XC3" i="8" s="1"/>
  <c r="WV3" i="8" a="1"/>
  <c r="WV3" i="8" s="1"/>
  <c r="WE3" i="8" a="1"/>
  <c r="WE3" i="8" s="1"/>
  <c r="VW3" i="8" a="1"/>
  <c r="VW3" i="8" s="1"/>
  <c r="VF3" i="8" a="1"/>
  <c r="VF3" i="8" s="1"/>
  <c r="ZX3" i="8" a="1"/>
  <c r="ZX3" i="8" s="1"/>
  <c r="ZP3" i="8" a="1"/>
  <c r="ZP3" i="8" s="1"/>
  <c r="ZG3" i="8" a="1"/>
  <c r="ZG3" i="8" s="1"/>
  <c r="YI3" i="8" a="1"/>
  <c r="YI3" i="8" s="1"/>
  <c r="YA3" i="8" a="1"/>
  <c r="YA3" i="8" s="1"/>
  <c r="XS3" i="8" a="1"/>
  <c r="XS3" i="8" s="1"/>
  <c r="XB3" i="8" a="1"/>
  <c r="XB3" i="8" s="1"/>
  <c r="WU3" i="8" a="1"/>
  <c r="WU3" i="8" s="1"/>
  <c r="WL3" i="8" a="1"/>
  <c r="WL3" i="8" s="1"/>
  <c r="VV3" i="8" a="1"/>
  <c r="VV3" i="8" s="1"/>
  <c r="VN3" i="8" a="1"/>
  <c r="VN3" i="8" s="1"/>
  <c r="VE3" i="8" a="1"/>
  <c r="VE3" i="8" s="1"/>
  <c r="UW3" i="8" a="1"/>
  <c r="UW3" i="8" s="1"/>
  <c r="UO3" i="8" a="1"/>
  <c r="UO3" i="8" s="1"/>
  <c r="ZW3" i="8" a="1"/>
  <c r="ZW3" i="8" s="1"/>
  <c r="ZO3" i="8" a="1"/>
  <c r="ZO3" i="8" s="1"/>
  <c r="YY3" i="8" a="1"/>
  <c r="YY3" i="8" s="1"/>
  <c r="YQ3" i="8" a="1"/>
  <c r="YQ3" i="8" s="1"/>
  <c r="YH3" i="8" a="1"/>
  <c r="YH3" i="8" s="1"/>
  <c r="XZ3" i="8" a="1"/>
  <c r="XZ3" i="8" s="1"/>
  <c r="XR3" i="8" a="1"/>
  <c r="XR3" i="8" s="1"/>
  <c r="XJ3" i="8" a="1"/>
  <c r="XJ3" i="8" s="1"/>
  <c r="WT3" i="8" a="1"/>
  <c r="WT3" i="8" s="1"/>
  <c r="WD3" i="8" a="1"/>
  <c r="WD3" i="8" s="1"/>
  <c r="VU3" i="8" a="1"/>
  <c r="VU3" i="8" s="1"/>
  <c r="VD3" i="8" a="1"/>
  <c r="VD3" i="8" s="1"/>
  <c r="UV3" i="8" a="1"/>
  <c r="UV3" i="8" s="1"/>
  <c r="UN3" i="8" a="1"/>
  <c r="UN3" i="8" s="1"/>
  <c r="UE3" i="8" a="1"/>
  <c r="UE3" i="8" s="1"/>
  <c r="TW3" i="8" a="1"/>
  <c r="TW3" i="8" s="1"/>
  <c r="ZV3" i="8" a="1"/>
  <c r="ZV3" i="8" s="1"/>
  <c r="ZN3" i="8" a="1"/>
  <c r="ZN3" i="8" s="1"/>
  <c r="ZF3" i="8" a="1"/>
  <c r="ZF3" i="8" s="1"/>
  <c r="YP3" i="8" a="1"/>
  <c r="YP3" i="8" s="1"/>
  <c r="XY3" i="8" a="1"/>
  <c r="XY3" i="8" s="1"/>
  <c r="XA3" i="8" a="1"/>
  <c r="XA3" i="8" s="1"/>
  <c r="WS3" i="8" a="1"/>
  <c r="WS3" i="8" s="1"/>
  <c r="WK3" i="8" a="1"/>
  <c r="WK3" i="8" s="1"/>
  <c r="WC3" i="8" a="1"/>
  <c r="WC3" i="8" s="1"/>
  <c r="VM3" i="8" a="1"/>
  <c r="VM3" i="8" s="1"/>
  <c r="UU3" i="8" a="1"/>
  <c r="UU3" i="8" s="1"/>
  <c r="ZM3" i="8" a="1"/>
  <c r="ZM3" i="8" s="1"/>
  <c r="ZE3" i="8" a="1"/>
  <c r="ZE3" i="8" s="1"/>
  <c r="YX3" i="8" a="1"/>
  <c r="YX3" i="8" s="1"/>
  <c r="YO3" i="8" a="1"/>
  <c r="YO3" i="8" s="1"/>
  <c r="YG3" i="8" a="1"/>
  <c r="YG3" i="8" s="1"/>
  <c r="XX3" i="8" a="1"/>
  <c r="XX3" i="8" s="1"/>
  <c r="XQ3" i="8" a="1"/>
  <c r="XQ3" i="8" s="1"/>
  <c r="XI3" i="8" a="1"/>
  <c r="XI3" i="8" s="1"/>
  <c r="WZ3" i="8" a="1"/>
  <c r="WZ3" i="8" s="1"/>
  <c r="WR3" i="8" a="1"/>
  <c r="WR3" i="8" s="1"/>
  <c r="WB3" i="8" a="1"/>
  <c r="WB3" i="8" s="1"/>
  <c r="VT3" i="8" a="1"/>
  <c r="VT3" i="8" s="1"/>
  <c r="VL3" i="8" a="1"/>
  <c r="VL3" i="8" s="1"/>
  <c r="VC3" i="8" a="1"/>
  <c r="VC3" i="8" s="1"/>
  <c r="UM3" i="8" a="1"/>
  <c r="UM3" i="8" s="1"/>
  <c r="UD3" i="8" a="1"/>
  <c r="UD3" i="8" s="1"/>
  <c r="ZU3" i="8" a="1"/>
  <c r="ZU3" i="8" s="1"/>
  <c r="YW3" i="8" a="1"/>
  <c r="YW3" i="8" s="1"/>
  <c r="XP3" i="8" a="1"/>
  <c r="XP3" i="8" s="1"/>
  <c r="XH3" i="8" a="1"/>
  <c r="XH3" i="8" s="1"/>
  <c r="WJ3" i="8" a="1"/>
  <c r="WJ3" i="8" s="1"/>
  <c r="WA3" i="8" a="1"/>
  <c r="WA3" i="8" s="1"/>
  <c r="VS3" i="8" a="1"/>
  <c r="VS3" i="8" s="1"/>
  <c r="UT3" i="8" a="1"/>
  <c r="UT3" i="8" s="1"/>
  <c r="UL3" i="8" a="1"/>
  <c r="UL3" i="8" s="1"/>
  <c r="TT3" i="8" a="1"/>
  <c r="TT3" i="8" s="1"/>
  <c r="TM3" i="8" a="1"/>
  <c r="TM3" i="8" s="1"/>
  <c r="TD3" i="8" a="1"/>
  <c r="TD3" i="8" s="1"/>
  <c r="SM3" i="8" a="1"/>
  <c r="SM3" i="8" s="1"/>
  <c r="SD3" i="8" a="1"/>
  <c r="SD3" i="8" s="1"/>
  <c r="RV3" i="8" a="1"/>
  <c r="RV3" i="8" s="1"/>
  <c r="RE3" i="8" a="1"/>
  <c r="RE3" i="8" s="1"/>
  <c r="ZT3" i="8" a="1"/>
  <c r="ZT3" i="8" s="1"/>
  <c r="ZL3" i="8" a="1"/>
  <c r="ZL3" i="8" s="1"/>
  <c r="ZD3" i="8" a="1"/>
  <c r="ZD3" i="8" s="1"/>
  <c r="YV3" i="8" a="1"/>
  <c r="YV3" i="8" s="1"/>
  <c r="YN3" i="8" a="1"/>
  <c r="YN3" i="8" s="1"/>
  <c r="YF3" i="8" a="1"/>
  <c r="YF3" i="8" s="1"/>
  <c r="XW3" i="8" a="1"/>
  <c r="XW3" i="8" s="1"/>
  <c r="XO3" i="8" a="1"/>
  <c r="XO3" i="8" s="1"/>
  <c r="WY3" i="8" a="1"/>
  <c r="WY3" i="8" s="1"/>
  <c r="WQ3" i="8" a="1"/>
  <c r="WQ3" i="8" s="1"/>
  <c r="VR3" i="8" a="1"/>
  <c r="VR3" i="8" s="1"/>
  <c r="VK3" i="8" a="1"/>
  <c r="VK3" i="8" s="1"/>
  <c r="VB3" i="8" a="1"/>
  <c r="VB3" i="8" s="1"/>
  <c r="US3" i="8" a="1"/>
  <c r="US3" i="8" s="1"/>
  <c r="UK3" i="8" a="1"/>
  <c r="UK3" i="8" s="1"/>
  <c r="YU3" i="8" a="1"/>
  <c r="YU3" i="8" s="1"/>
  <c r="YM3" i="8" a="1"/>
  <c r="YM3" i="8" s="1"/>
  <c r="XG3" i="8" a="1"/>
  <c r="XG3" i="8" s="1"/>
  <c r="WP3" i="8" a="1"/>
  <c r="WP3" i="8" s="1"/>
  <c r="WI3" i="8" a="1"/>
  <c r="WI3" i="8" s="1"/>
  <c r="VZ3" i="8" a="1"/>
  <c r="VZ3" i="8" s="1"/>
  <c r="VJ3" i="8" a="1"/>
  <c r="VJ3" i="8" s="1"/>
  <c r="VA3" i="8" a="1"/>
  <c r="VA3" i="8" s="1"/>
  <c r="UR3" i="8" a="1"/>
  <c r="UR3" i="8" s="1"/>
  <c r="TS3" i="8" a="1"/>
  <c r="TS3" i="8" s="1"/>
  <c r="ZS3" i="8" a="1"/>
  <c r="ZS3" i="8" s="1"/>
  <c r="ZK3" i="8" a="1"/>
  <c r="ZK3" i="8" s="1"/>
  <c r="ZC3" i="8" a="1"/>
  <c r="ZC3" i="8" s="1"/>
  <c r="YL3" i="8" a="1"/>
  <c r="YL3" i="8" s="1"/>
  <c r="YE3" i="8" a="1"/>
  <c r="YE3" i="8" s="1"/>
  <c r="XV3" i="8" a="1"/>
  <c r="XV3" i="8" s="1"/>
  <c r="XN3" i="8" a="1"/>
  <c r="XN3" i="8" s="1"/>
  <c r="XF3" i="8" a="1"/>
  <c r="XF3" i="8" s="1"/>
  <c r="WX3" i="8" a="1"/>
  <c r="WX3" i="8" s="1"/>
  <c r="WO3" i="8" a="1"/>
  <c r="WO3" i="8" s="1"/>
  <c r="WH3" i="8" a="1"/>
  <c r="WH3" i="8" s="1"/>
  <c r="VY3" i="8" a="1"/>
  <c r="VY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<sst xmlns="http://schemas.openxmlformats.org/spreadsheetml/2006/main" count="460" uniqueCount="286">
  <si>
    <t>Asignar datos  viaje en subasta</t>
  </si>
  <si>
    <t xml:space="preserve">Sección viaje </t>
  </si>
  <si>
    <t>Sección Material</t>
  </si>
  <si>
    <t>Especificaciones</t>
  </si>
  <si>
    <t>Conceptos</t>
  </si>
  <si>
    <t>Cliente</t>
  </si>
  <si>
    <t>Ruta/Trayecto</t>
  </si>
  <si>
    <t>Fecha carga</t>
  </si>
  <si>
    <t>Hora carga</t>
  </si>
  <si>
    <t>Origen/Remitente</t>
  </si>
  <si>
    <t>Fecha entrega</t>
  </si>
  <si>
    <t>Hora entrega</t>
  </si>
  <si>
    <t>Destino/Destinatario</t>
  </si>
  <si>
    <t>Cantidad</t>
  </si>
  <si>
    <t>ID unidad de embalaje</t>
  </si>
  <si>
    <t>Descripción material carga</t>
  </si>
  <si>
    <t>Peso</t>
  </si>
  <si>
    <t>Id unidad de peso</t>
  </si>
  <si>
    <t>Especificaciones del transportista u operador</t>
  </si>
  <si>
    <t>Especificaciones de la unidad</t>
  </si>
  <si>
    <t>Id Tipo unidad</t>
  </si>
  <si>
    <t xml:space="preserve">Id Región de tránsito </t>
  </si>
  <si>
    <t>Condición de pago</t>
  </si>
  <si>
    <t>Id Forma de pago</t>
  </si>
  <si>
    <t>Método de pago</t>
  </si>
  <si>
    <t>Moneda</t>
  </si>
  <si>
    <t>Concepto de facturación</t>
  </si>
  <si>
    <t>Importe</t>
  </si>
  <si>
    <t>IVA</t>
  </si>
  <si>
    <t>Importe IVA</t>
  </si>
  <si>
    <t>Retención</t>
  </si>
  <si>
    <t>Importe Retención</t>
  </si>
  <si>
    <t>Instrucciones  "Asignar datos"</t>
  </si>
  <si>
    <r>
      <rPr>
        <sz val="12"/>
        <color rgb="FFFF0000"/>
        <rFont val="Calibri"/>
        <family val="2"/>
        <scheme val="minor"/>
      </rPr>
      <t xml:space="preserve">Favor de llenar las columnas dentro de la pestaña </t>
    </r>
    <r>
      <rPr>
        <b/>
        <sz val="12"/>
        <color rgb="FFFF0000"/>
        <rFont val="Calibri"/>
        <family val="2"/>
        <scheme val="minor"/>
      </rPr>
      <t xml:space="preserve">"Asignar datos " </t>
    </r>
    <r>
      <rPr>
        <sz val="12"/>
        <color rgb="FFFF0000"/>
        <rFont val="Calibri"/>
        <family val="2"/>
        <scheme val="minor"/>
      </rPr>
      <t>de acuerdo a lo especificado en la siguiente gráfica .</t>
    </r>
  </si>
  <si>
    <t>Campo</t>
  </si>
  <si>
    <t>Requerido</t>
  </si>
  <si>
    <t>Descripción</t>
  </si>
  <si>
    <t>Valor a capturar</t>
  </si>
  <si>
    <t>SI</t>
  </si>
  <si>
    <t xml:space="preserve">Atributo para expresar el nombre del cliente </t>
  </si>
  <si>
    <t>1 a 100 caracteres</t>
  </si>
  <si>
    <t>Atributo para expresar la ruta y/o Trayecto principal, la información se separá por coma (,)</t>
  </si>
  <si>
    <t xml:space="preserve">Atributo para expresar la fecha de carga </t>
  </si>
  <si>
    <t>Formato DD/MM/AAAA</t>
  </si>
  <si>
    <t xml:space="preserve">Atributo para expresar la hora de carga </t>
  </si>
  <si>
    <t>Formato 12 hrs HH:MM PM/AM</t>
  </si>
  <si>
    <t>Atributo para expresar el Origen/Remitente</t>
  </si>
  <si>
    <t>Atributo para expresar la fecha de entrega</t>
  </si>
  <si>
    <t>Atributo para expresar la hora de entrega</t>
  </si>
  <si>
    <t>Atributo para expresar el Destino/Destinatario</t>
  </si>
  <si>
    <t>Atributo para expresar la cantidad total de los
bienes y/o mercancías que se trasladan a través de los
distintos medios de transporte.</t>
  </si>
  <si>
    <t>Expresa los valores del campo unidad de embalaje.</t>
  </si>
  <si>
    <t>VER HOJA (PESTAÑA) De Unidad de embalaje</t>
  </si>
  <si>
    <t>Muestra el texto capturado en el campo descripción material carga.</t>
  </si>
  <si>
    <t>Atributo requerido para indicar el peso estimado de los bienes y/o mercancias que se trasladan.</t>
  </si>
  <si>
    <t>Expresa los valores de unidad de peso
ID 1= KILOGRAMOS
ID 2=LIBRAS
ID 3=TONELADAS</t>
  </si>
  <si>
    <t>ID unidad de peso1 -2 -3</t>
  </si>
  <si>
    <t>Atributo para especificar caracteristicas que deben tener el transportista u operador</t>
  </si>
  <si>
    <t>Atributo para especificar caracteristicas que deben tener la unidad</t>
  </si>
  <si>
    <t>Expresa los valores del campo Tipo Unidad</t>
  </si>
  <si>
    <t>VER HOJA (PESTAÑA) De Tipo de unidad</t>
  </si>
  <si>
    <t>Id Región de transito</t>
  </si>
  <si>
    <t>Expresa los valores del campo Región de Transito, puede ser más de 1 región, esta deberán de separa por coma (,).</t>
  </si>
  <si>
    <t>VER HOJA (PESTAÑA) De Región de transito</t>
  </si>
  <si>
    <t>Exprea los valores de codiciones de pago
1-Credito
2-Contado</t>
  </si>
  <si>
    <t>Expresa los valores del campo Forma de pago</t>
  </si>
  <si>
    <t>VER HOJA (PESTAÑA) De Forma de pago</t>
  </si>
  <si>
    <t>Exprea los valores del campo Método de pago
1-PUE
2-PPD</t>
  </si>
  <si>
    <t>Expresa los valores del campo Moneda
1-Pesos Mexicanos
2-Dolares Americanos</t>
  </si>
  <si>
    <t xml:space="preserve">Concepto de facturación </t>
  </si>
  <si>
    <t>Atributo para expresar el Concepto de facturación</t>
  </si>
  <si>
    <t>Atibuto para expresar la tarifa/Importe del viaje/Subasta</t>
  </si>
  <si>
    <t>Formato 00.00</t>
  </si>
  <si>
    <t>No</t>
  </si>
  <si>
    <t>Expresar los valores SI o NO</t>
  </si>
  <si>
    <t>Condicional</t>
  </si>
  <si>
    <t>Se vuelve requerido al inidicar IVA=SI</t>
  </si>
  <si>
    <t>0,8,11 o 16</t>
  </si>
  <si>
    <t>Se vuelve requerido al inidicar Retención=SI</t>
  </si>
  <si>
    <t>0 o 4</t>
  </si>
  <si>
    <t>id</t>
  </si>
  <si>
    <t>ClaveSAT</t>
  </si>
  <si>
    <t>Descripcion</t>
  </si>
  <si>
    <t>01</t>
  </si>
  <si>
    <t>EFECTIVO</t>
  </si>
  <si>
    <t>02</t>
  </si>
  <si>
    <t>CHEQUE NOMINATIVO</t>
  </si>
  <si>
    <t>03</t>
  </si>
  <si>
    <t>TRANSFERENCIA ELECTRÓNICA DE FONDOS</t>
  </si>
  <si>
    <t>04</t>
  </si>
  <si>
    <t>TARJETA DE CRÉDITO</t>
  </si>
  <si>
    <t>05</t>
  </si>
  <si>
    <t>MONEDERO ELECTRÓNICO</t>
  </si>
  <si>
    <t>06</t>
  </si>
  <si>
    <t>DINERO ELECTRÓNICO</t>
  </si>
  <si>
    <t>08</t>
  </si>
  <si>
    <t>VALES DE DESPENSA</t>
  </si>
  <si>
    <t>12</t>
  </si>
  <si>
    <t>DACIÓN DE PAGO</t>
  </si>
  <si>
    <t>13</t>
  </si>
  <si>
    <t>PAGO POR SUBROGACIÓN</t>
  </si>
  <si>
    <t>14</t>
  </si>
  <si>
    <t>PAGO POR CONSIGNACIÓN</t>
  </si>
  <si>
    <t>15</t>
  </si>
  <si>
    <t>CONDONACIÓN</t>
  </si>
  <si>
    <t>17</t>
  </si>
  <si>
    <t>COMPENSACIÓN</t>
  </si>
  <si>
    <t>23</t>
  </si>
  <si>
    <t>NOVACIÓN</t>
  </si>
  <si>
    <t>24</t>
  </si>
  <si>
    <t>CONFUSIÓN</t>
  </si>
  <si>
    <t>25</t>
  </si>
  <si>
    <t>REMISIÓN DE DEUDA</t>
  </si>
  <si>
    <t>26</t>
  </si>
  <si>
    <t>PRESCRIPCIÓN O CADUCIDAD</t>
  </si>
  <si>
    <t>27</t>
  </si>
  <si>
    <t>A SATISFACCIÓN DEL ACREEDOR</t>
  </si>
  <si>
    <t>28</t>
  </si>
  <si>
    <t>TARJETA DE DÉBITO</t>
  </si>
  <si>
    <t>29</t>
  </si>
  <si>
    <t>TARJETA DE SERVICIOS</t>
  </si>
  <si>
    <t>30</t>
  </si>
  <si>
    <t>APLICACIÓN DE ANTICIPOS</t>
  </si>
  <si>
    <t>31</t>
  </si>
  <si>
    <t>INTERMEDIARIO PAGOS</t>
  </si>
  <si>
    <t>99</t>
  </si>
  <si>
    <t>POR DEFINIR</t>
  </si>
  <si>
    <t>IdUnidadMedida</t>
  </si>
  <si>
    <t>BALDES</t>
  </si>
  <si>
    <t>PAIL</t>
  </si>
  <si>
    <t>BARRILES</t>
  </si>
  <si>
    <t>BARREL</t>
  </si>
  <si>
    <t>BOLSAS</t>
  </si>
  <si>
    <t>BAG</t>
  </si>
  <si>
    <t>BULTOS</t>
  </si>
  <si>
    <t>BUNDLE</t>
  </si>
  <si>
    <t>CAJAS</t>
  </si>
  <si>
    <t>BOX</t>
  </si>
  <si>
    <t>CAJONES</t>
  </si>
  <si>
    <t>BIN</t>
  </si>
  <si>
    <t>CAJON DE EMBALAJE</t>
  </si>
  <si>
    <t>CRATE</t>
  </si>
  <si>
    <t>CANASTAS</t>
  </si>
  <si>
    <t>BASKET</t>
  </si>
  <si>
    <t>CARTONES</t>
  </si>
  <si>
    <t>CARTON</t>
  </si>
  <si>
    <t>CENTIMETROS</t>
  </si>
  <si>
    <t>CENTIMETER</t>
  </si>
  <si>
    <t>CESTOS</t>
  </si>
  <si>
    <t>HAMPER</t>
  </si>
  <si>
    <t>CILINDROS</t>
  </si>
  <si>
    <t>CYLINDER</t>
  </si>
  <si>
    <t>CISTERNAS</t>
  </si>
  <si>
    <t>TANK</t>
  </si>
  <si>
    <t>CUBETAS</t>
  </si>
  <si>
    <t>BUCKET</t>
  </si>
  <si>
    <t>DOCENAS</t>
  </si>
  <si>
    <t>DOZEN</t>
  </si>
  <si>
    <t>GALONES</t>
  </si>
  <si>
    <t>GALLON</t>
  </si>
  <si>
    <t>GARRAFONES</t>
  </si>
  <si>
    <t>CARBOY</t>
  </si>
  <si>
    <t>GRANELES EN SECO</t>
  </si>
  <si>
    <t>DRY BULK</t>
  </si>
  <si>
    <t>GRANELES LIQUIDOS</t>
  </si>
  <si>
    <t>LIQUID BULK</t>
  </si>
  <si>
    <t>JUEGOS</t>
  </si>
  <si>
    <t>SET</t>
  </si>
  <si>
    <t>KILOGRAMOS</t>
  </si>
  <si>
    <t>KILOGRAM</t>
  </si>
  <si>
    <t>KILOMETROS</t>
  </si>
  <si>
    <t>KILOMETRE</t>
  </si>
  <si>
    <t>KIT</t>
  </si>
  <si>
    <t>LAMINAS</t>
  </si>
  <si>
    <t>SHEET</t>
  </si>
  <si>
    <t>LATAS</t>
  </si>
  <si>
    <t>CAN</t>
  </si>
  <si>
    <t>LIBRAS</t>
  </si>
  <si>
    <t>POUND</t>
  </si>
  <si>
    <t>LITROS</t>
  </si>
  <si>
    <t>LITER</t>
  </si>
  <si>
    <t>METROS</t>
  </si>
  <si>
    <t>METER</t>
  </si>
  <si>
    <t>METROS CUBICOS</t>
  </si>
  <si>
    <t>METER CUBIC</t>
  </si>
  <si>
    <t>MILIMETROS</t>
  </si>
  <si>
    <t>MILLIMETER</t>
  </si>
  <si>
    <t>MILLAS</t>
  </si>
  <si>
    <t>MILE</t>
  </si>
  <si>
    <t>ONZAS</t>
  </si>
  <si>
    <t>OUNCE</t>
  </si>
  <si>
    <t>PACAS</t>
  </si>
  <si>
    <t>BALE</t>
  </si>
  <si>
    <t>PALLETS</t>
  </si>
  <si>
    <t>PALLET</t>
  </si>
  <si>
    <t>PAQUETES</t>
  </si>
  <si>
    <t>PACKAGE</t>
  </si>
  <si>
    <t>PAR</t>
  </si>
  <si>
    <t>COUPLE</t>
  </si>
  <si>
    <t>PIES</t>
  </si>
  <si>
    <t>FEET</t>
  </si>
  <si>
    <t>PIEZAS</t>
  </si>
  <si>
    <t>PIECES</t>
  </si>
  <si>
    <t>PULGADAS</t>
  </si>
  <si>
    <t>INCH</t>
  </si>
  <si>
    <t>RECIPIENTES</t>
  </si>
  <si>
    <t>CONTAINER</t>
  </si>
  <si>
    <t>ROLLOS</t>
  </si>
  <si>
    <t>ROLL</t>
  </si>
  <si>
    <t>SACOS</t>
  </si>
  <si>
    <t>SACK</t>
  </si>
  <si>
    <t>SERVICIOS</t>
  </si>
  <si>
    <t>SERVICE</t>
  </si>
  <si>
    <t>TAMBOS</t>
  </si>
  <si>
    <t>DRUM</t>
  </si>
  <si>
    <t>TARIMAS</t>
  </si>
  <si>
    <t>TIBORES</t>
  </si>
  <si>
    <t>TIBOR</t>
  </si>
  <si>
    <t>TONELES</t>
  </si>
  <si>
    <t>CASK</t>
  </si>
  <si>
    <t>TONELADAS</t>
  </si>
  <si>
    <t>TONNE</t>
  </si>
  <si>
    <t>TRONCOS</t>
  </si>
  <si>
    <t>LOGS</t>
  </si>
  <si>
    <t>TUBOS</t>
  </si>
  <si>
    <t>TUBE</t>
  </si>
  <si>
    <t>UNIDADES</t>
  </si>
  <si>
    <t>UNIT</t>
  </si>
  <si>
    <t>VALIJAS</t>
  </si>
  <si>
    <t>VALISE</t>
  </si>
  <si>
    <t>YARDAS</t>
  </si>
  <si>
    <t>YARD</t>
  </si>
  <si>
    <t>LOTE</t>
  </si>
  <si>
    <t>LOT</t>
  </si>
  <si>
    <t>TipoUnidad</t>
  </si>
  <si>
    <t>TORTON</t>
  </si>
  <si>
    <t>RABON</t>
  </si>
  <si>
    <t>AUTOTANQUE</t>
  </si>
  <si>
    <t>VAN</t>
  </si>
  <si>
    <t>PICKUP</t>
  </si>
  <si>
    <t>AUTOMOVIL</t>
  </si>
  <si>
    <t>CAMIONETA</t>
  </si>
  <si>
    <t>TRACTOCAMION</t>
  </si>
  <si>
    <t>CONTENEDOR</t>
  </si>
  <si>
    <t>PORTACONTENEDOR</t>
  </si>
  <si>
    <t>CAJA SECA</t>
  </si>
  <si>
    <t>PLATAFORMA</t>
  </si>
  <si>
    <t>TOLVA</t>
  </si>
  <si>
    <t>JAULA</t>
  </si>
  <si>
    <t>THERMOKING/CAJA REFRIGERADA</t>
  </si>
  <si>
    <t>TANQUE</t>
  </si>
  <si>
    <t>CAMA BAJA</t>
  </si>
  <si>
    <t>CAJA ABIERTA</t>
  </si>
  <si>
    <t>DOLLY</t>
  </si>
  <si>
    <t>CAMION DE VOLTEO</t>
  </si>
  <si>
    <t>GONDOLA</t>
  </si>
  <si>
    <t>AUTOBUS</t>
  </si>
  <si>
    <t>TOLVA DE VOLTEO</t>
  </si>
  <si>
    <t>TOLVA PRESURIZADA</t>
  </si>
  <si>
    <t>region</t>
  </si>
  <si>
    <t>Región Noroeste</t>
  </si>
  <si>
    <t>Región Noreste</t>
  </si>
  <si>
    <t>Región Occidente</t>
  </si>
  <si>
    <t>Región Oriente</t>
  </si>
  <si>
    <t>Región Centronorte</t>
  </si>
  <si>
    <t>Región Centrosur</t>
  </si>
  <si>
    <t>Región Suroeste</t>
  </si>
  <si>
    <t>Región Sureste</t>
  </si>
  <si>
    <t>ID-Nombre Fiscal</t>
  </si>
  <si>
    <t>IDCliente</t>
  </si>
  <si>
    <t>ID-Descripcion Ruta</t>
  </si>
  <si>
    <t>ID-Descripcion Origen</t>
  </si>
  <si>
    <t>de 0.0001 a 4 deciamles</t>
  </si>
  <si>
    <t>de 0.001 a 3 deciamles</t>
  </si>
  <si>
    <t>40193-Tecnologías Avanzadas SA de CV</t>
  </si>
  <si>
    <t>10247-ABALA, YUCATAN / ACTEOPAN, PUEBLA</t>
  </si>
  <si>
    <t>10248-TOTOLAPAN, MORELOS / TIJUANA, BAJA CALIFORNIA</t>
  </si>
  <si>
    <t>40358-Rodolfo Quiñonez</t>
  </si>
  <si>
    <t>40361-Armando Cazares</t>
  </si>
  <si>
    <t>40362-Baldo</t>
  </si>
  <si>
    <t>PRUEBA</t>
  </si>
  <si>
    <t>EJEMPLO</t>
  </si>
  <si>
    <t>FLETE</t>
  </si>
  <si>
    <t>NO</t>
  </si>
  <si>
    <t xml:space="preserve"> 30/05/2025</t>
  </si>
  <si>
    <t>10:15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</si>
</sst>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434343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B7B7B7"/>
      </patternFill>
    </fill>
    <fill>
      <patternFill patternType="solid">
        <fgColor rgb="FFFFFFFF"/>
      </patternFill>
    </fill>
    <fill>
      <patternFill patternType="solid">
        <fgColor rgb="FFBF9000"/>
      </patternFill>
    </fill>
    <fill>
      <patternFill patternType="solid">
        <fgColor rgb="FFFFE598"/>
      </patternFill>
    </fill>
    <fill>
      <patternFill patternType="solid">
        <fgColor rgb="FFFEF2CB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3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3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4" borderId="2" xfId="0" applyFont="1" applyFill="1" applyBorder="1" applyAlignment="1">
      <alignment horizontal="left" wrapText="1"/>
    </xf>
    <xf numFmtId="0" fontId="7" fillId="4" borderId="2" xfId="0" applyFont="1" applyFill="1" applyBorder="1" applyAlignment="1">
      <alignment horizontal="left" wrapText="1"/>
    </xf>
    <xf numFmtId="0" fontId="2" fillId="7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9" fontId="0" fillId="0" borderId="0" xfId="0" applyNumberFormat="1"/>
    <xf numFmtId="3" fontId="0" fillId="8" borderId="0" xfId="0" applyNumberFormat="1" applyFill="1" applyAlignment="1">
      <alignment horizontal="right"/>
    </xf>
    <xf numFmtId="0" fontId="0" fillId="8" borderId="0" xfId="0" applyFill="1"/>
    <xf numFmtId="3" fontId="9" fillId="0" borderId="1" xfId="0" applyNumberFormat="1" applyFont="1" applyBorder="1" applyAlignment="1">
      <alignment horizontal="right"/>
    </xf>
    <xf numFmtId="0" fontId="12" fillId="8" borderId="0" xfId="0" applyFont="1" applyFill="1"/>
    <xf numFmtId="0" fontId="12" fillId="0" borderId="0" xfId="0" applyFont="1"/>
    <xf numFmtId="0" fontId="8" fillId="5" borderId="4" xfId="0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1" fillId="6" borderId="7" xfId="0" applyFont="1" applyFill="1" applyBorder="1" applyAlignment="1">
      <alignment horizontal="center" vertical="top"/>
    </xf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</cellXfs>
  <cellStyles count="1">
    <cellStyle name="Normal" xfId="0" builtinId="0"/>
  </cellStyles>
  <dxfs count="1">
    <dxf>
      <numFmt numFmtId="3" formatCode="#,##0"/>
      <alignment horizontal="right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104775</xdr:rowOff>
        </xdr:from>
        <xdr:to>
          <xdr:col>1</xdr:col>
          <xdr:colOff>1209675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Rutas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D947E-1E33-4CE0-95DF-F274C33E5C84}" name="Table1" displayName="Table1" ref="A1:B1048576" totalsRowShown="0">
  <autoFilter ref="A1:B1048576" xr:uid="{5B4D947E-1E33-4CE0-95DF-F274C33E5C84}"/>
  <tableColumns count="2">
    <tableColumn id="1" xr3:uid="{1F7F45D7-4288-4E28-A243-00201C47E7DC}" name="ID-Nombre Fiscal" dataDxfId="0"/>
    <tableColumn id="2" xr3:uid="{F5AB04AA-25F3-4188-A954-5FDA270E984F}" name="IDClien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A20"/>
  <sheetViews>
    <sheetView tabSelected="1" zoomScaleNormal="100" workbookViewId="0">
      <selection activeCell="H26" sqref="H26"/>
    </sheetView>
  </sheetViews>
  <sheetFormatPr defaultColWidth="9.28515625" defaultRowHeight="15" x14ac:dyDescent="0.25"/>
  <cols>
    <col min="1" max="1" width="38.5703125" bestFit="1" customWidth="1"/>
    <col min="2" max="2" width="54.28515625" bestFit="1" customWidth="1"/>
    <col min="3" max="3" width="13.85546875" bestFit="1" customWidth="1"/>
    <col min="4" max="4" width="10.7109375" bestFit="1" customWidth="1"/>
    <col min="5" max="5" width="17.140625" bestFit="1" customWidth="1"/>
    <col min="6" max="6" width="13.42578125" bestFit="1" customWidth="1"/>
    <col min="7" max="7" width="12.85546875" bestFit="1" customWidth="1"/>
    <col min="8" max="8" width="19.5703125" bestFit="1" customWidth="1"/>
    <col min="9" max="9" width="11.7109375" bestFit="1" customWidth="1"/>
    <col min="10" max="10" width="21.42578125" bestFit="1" customWidth="1"/>
    <col min="11" max="11" width="25.42578125" bestFit="1" customWidth="1"/>
    <col min="12" max="12" width="7.7109375" customWidth="1"/>
    <col min="13" max="13" width="16.28515625" bestFit="1" customWidth="1"/>
    <col min="14" max="14" width="40.28515625" bestFit="1" customWidth="1"/>
    <col min="15" max="15" width="26.7109375" bestFit="1" customWidth="1"/>
    <col min="16" max="16" width="14.85546875" bestFit="1" customWidth="1"/>
    <col min="17" max="17" width="19.7109375" bestFit="1" customWidth="1"/>
    <col min="18" max="18" width="18.28515625" bestFit="1" customWidth="1"/>
    <col min="19" max="20" width="16.28515625" bestFit="1" customWidth="1"/>
    <col min="21" max="21" width="16.140625" customWidth="1"/>
    <col min="22" max="22" width="22.140625" bestFit="1" customWidth="1"/>
    <col min="23" max="23" width="11" customWidth="1"/>
    <col min="24" max="24" width="4.85546875" bestFit="1" customWidth="1"/>
    <col min="25" max="25" width="11.28515625" bestFit="1" customWidth="1"/>
    <col min="26" max="26" width="10.28515625" bestFit="1" customWidth="1"/>
    <col min="27" max="27" width="17" bestFit="1" customWidth="1"/>
  </cols>
  <sheetData>
    <row r="1" spans="1:27" ht="23.25" customHeight="1" x14ac:dyDescent="0.3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1"/>
    </row>
    <row r="2" spans="1:27" ht="18.75" customHeight="1" x14ac:dyDescent="0.25">
      <c r="A2" s="32" t="s">
        <v>1</v>
      </c>
      <c r="B2" s="33"/>
      <c r="C2" s="33"/>
      <c r="D2" s="33"/>
      <c r="E2" s="33"/>
      <c r="F2" s="33"/>
      <c r="G2" s="33"/>
      <c r="H2" s="34"/>
      <c r="I2" s="32" t="s">
        <v>2</v>
      </c>
      <c r="J2" s="33"/>
      <c r="K2" s="33"/>
      <c r="L2" s="33"/>
      <c r="M2" s="34"/>
      <c r="N2" s="32" t="s">
        <v>3</v>
      </c>
      <c r="O2" s="33"/>
      <c r="P2" s="33"/>
      <c r="Q2" s="34"/>
      <c r="R2" s="32" t="s">
        <v>4</v>
      </c>
      <c r="S2" s="33"/>
      <c r="T2" s="33"/>
      <c r="U2" s="33"/>
      <c r="V2" s="33"/>
      <c r="W2" s="33"/>
      <c r="X2" s="33"/>
      <c r="Y2" s="33"/>
      <c r="Z2" s="33"/>
      <c r="AA2" s="34"/>
    </row>
    <row r="3" spans="1:27" ht="18.75" customHeight="1" x14ac:dyDescent="0.25">
      <c r="A3" s="35"/>
      <c r="B3" s="36"/>
      <c r="C3" s="36"/>
      <c r="D3" s="36"/>
      <c r="E3" s="36"/>
      <c r="F3" s="36"/>
      <c r="G3" s="36"/>
      <c r="H3" s="37"/>
      <c r="I3" s="35"/>
      <c r="J3" s="36"/>
      <c r="K3" s="36"/>
      <c r="L3" s="36"/>
      <c r="M3" s="37"/>
      <c r="N3" s="35"/>
      <c r="O3" s="36"/>
      <c r="P3" s="36"/>
      <c r="Q3" s="37"/>
      <c r="R3" s="35"/>
      <c r="S3" s="36"/>
      <c r="T3" s="36"/>
      <c r="U3" s="36"/>
      <c r="V3" s="36"/>
      <c r="W3" s="36"/>
      <c r="X3" s="36"/>
      <c r="Y3" s="36"/>
      <c r="Z3" s="36"/>
      <c r="AA3" s="37"/>
    </row>
    <row r="4" spans="1:27" ht="20.25" customHeight="1" x14ac:dyDescent="0.25">
      <c r="A4" s="21" t="s">
        <v>5</v>
      </c>
      <c r="B4" s="21" t="s">
        <v>6</v>
      </c>
      <c r="C4" s="21" t="s">
        <v>7</v>
      </c>
      <c r="D4" s="21" t="s">
        <v>8</v>
      </c>
      <c r="E4" s="21" t="s">
        <v>9</v>
      </c>
      <c r="F4" s="21" t="s">
        <v>10</v>
      </c>
      <c r="G4" s="21" t="s">
        <v>11</v>
      </c>
      <c r="H4" s="21" t="s">
        <v>12</v>
      </c>
      <c r="I4" s="21" t="s">
        <v>13</v>
      </c>
      <c r="J4" s="21" t="s">
        <v>14</v>
      </c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1" t="s">
        <v>22</v>
      </c>
      <c r="S4" s="21" t="s">
        <v>23</v>
      </c>
      <c r="T4" s="22" t="s">
        <v>24</v>
      </c>
      <c r="U4" s="21" t="s">
        <v>25</v>
      </c>
      <c r="V4" s="21" t="s">
        <v>26</v>
      </c>
      <c r="W4" s="21" t="s">
        <v>27</v>
      </c>
      <c r="X4" s="21" t="s">
        <v>28</v>
      </c>
      <c r="Y4" s="21" t="s">
        <v>29</v>
      </c>
      <c r="Z4" s="21" t="s">
        <v>30</v>
      </c>
      <c r="AA4" s="21" t="s">
        <v>31</v>
      </c>
    </row>
    <row r="5" spans="1:27" x14ac:dyDescent="0.25">
      <c r="A5" t="s">
        <v>274</v>
      </c>
      <c r="B5" t="s">
        <v>275</v>
      </c>
      <c r="C5" t="s">
        <v>284</v>
      </c>
      <c r="D5" s="23" t="s">
        <v>285</v>
      </c>
      <c r="E5" t="s">
        <v>278</v>
      </c>
      <c r="F5" t="s">
        <v>284</v>
      </c>
      <c r="G5" s="23" t="s">
        <v>285</v>
      </c>
      <c r="H5" t="s">
        <v>277</v>
      </c>
      <c r="I5">
        <v>21</v>
      </c>
      <c r="J5">
        <v>1</v>
      </c>
      <c r="K5" t="s">
        <v>280</v>
      </c>
      <c r="L5">
        <v>21</v>
      </c>
      <c r="M5">
        <v>1</v>
      </c>
      <c r="N5" t="s">
        <v>281</v>
      </c>
      <c r="O5" t="s">
        <v>281</v>
      </c>
      <c r="P5">
        <v>1</v>
      </c>
      <c r="Q5">
        <v>1</v>
      </c>
      <c r="R5">
        <v>1</v>
      </c>
      <c r="S5">
        <v>91</v>
      </c>
      <c r="T5">
        <v>1</v>
      </c>
      <c r="U5">
        <v>1</v>
      </c>
      <c r="V5" t="s">
        <v>282</v>
      </c>
      <c r="W5">
        <v>9000</v>
      </c>
      <c r="X5" t="s">
        <v>38</v>
      </c>
      <c r="Y5">
        <v>8</v>
      </c>
      <c r="Z5" t="s">
        <v>283</v>
      </c>
    </row>
    <row r="6" spans="1:27" x14ac:dyDescent="0.25">
      <c r="A6" t="s">
        <v>274</v>
      </c>
      <c r="B6" t="s">
        <v>276</v>
      </c>
      <c r="C6" t="s">
        <v>284</v>
      </c>
      <c r="D6" s="23" t="s">
        <v>285</v>
      </c>
      <c r="E6" t="s">
        <v>278</v>
      </c>
      <c r="F6" t="s">
        <v>284</v>
      </c>
      <c r="G6" s="23" t="s">
        <v>285</v>
      </c>
      <c r="H6" t="s">
        <v>277</v>
      </c>
      <c r="I6">
        <v>21</v>
      </c>
      <c r="J6">
        <v>1</v>
      </c>
      <c r="K6" t="s">
        <v>280</v>
      </c>
      <c r="L6">
        <v>21</v>
      </c>
      <c r="M6">
        <v>1</v>
      </c>
      <c r="N6" t="s">
        <v>281</v>
      </c>
      <c r="O6" t="s">
        <v>281</v>
      </c>
      <c r="P6">
        <v>1</v>
      </c>
      <c r="Q6">
        <v>1</v>
      </c>
      <c r="R6">
        <v>1</v>
      </c>
      <c r="S6">
        <v>91</v>
      </c>
      <c r="T6">
        <v>1</v>
      </c>
      <c r="U6">
        <v>1</v>
      </c>
      <c r="V6" t="s">
        <v>282</v>
      </c>
      <c r="W6">
        <v>9000</v>
      </c>
      <c r="X6" t="s">
        <v>38</v>
      </c>
      <c r="Y6">
        <v>8</v>
      </c>
      <c r="Z6" t="s">
        <v>283</v>
      </c>
    </row>
    <row r="7" spans="1:27" x14ac:dyDescent="0.25">
      <c r="A7" t="s">
        <v>274</v>
      </c>
      <c r="B7" t="s">
        <v>275</v>
      </c>
      <c r="C7" t="s">
        <v>284</v>
      </c>
      <c r="D7" s="23" t="s">
        <v>285</v>
      </c>
      <c r="E7" t="s">
        <v>278</v>
      </c>
      <c r="F7" t="s">
        <v>284</v>
      </c>
      <c r="G7" s="23" t="s">
        <v>285</v>
      </c>
      <c r="H7" t="s">
        <v>277</v>
      </c>
      <c r="I7">
        <v>21</v>
      </c>
      <c r="J7">
        <v>1</v>
      </c>
      <c r="K7" t="s">
        <v>280</v>
      </c>
      <c r="L7">
        <v>21</v>
      </c>
      <c r="M7">
        <v>1</v>
      </c>
      <c r="N7" t="s">
        <v>281</v>
      </c>
      <c r="O7" t="s">
        <v>281</v>
      </c>
      <c r="P7">
        <v>1</v>
      </c>
      <c r="Q7">
        <v>1</v>
      </c>
      <c r="R7">
        <v>1</v>
      </c>
      <c r="S7">
        <v>91</v>
      </c>
      <c r="T7">
        <v>1</v>
      </c>
      <c r="U7">
        <v>1</v>
      </c>
      <c r="V7" t="s">
        <v>282</v>
      </c>
      <c r="W7">
        <v>9000</v>
      </c>
      <c r="X7" t="s">
        <v>38</v>
      </c>
      <c r="Y7">
        <v>8</v>
      </c>
      <c r="Z7" t="s">
        <v>283</v>
      </c>
    </row>
    <row r="8" spans="1:27" x14ac:dyDescent="0.25">
      <c r="A8" t="s">
        <v>274</v>
      </c>
      <c r="B8" t="s">
        <v>276</v>
      </c>
      <c r="C8" t="s">
        <v>284</v>
      </c>
      <c r="D8" s="23" t="s">
        <v>285</v>
      </c>
      <c r="E8" t="s">
        <v>278</v>
      </c>
      <c r="F8" t="s">
        <v>284</v>
      </c>
      <c r="G8" s="23" t="s">
        <v>285</v>
      </c>
      <c r="H8" t="s">
        <v>277</v>
      </c>
      <c r="I8">
        <v>21</v>
      </c>
      <c r="J8">
        <v>1</v>
      </c>
      <c r="K8" t="s">
        <v>280</v>
      </c>
      <c r="L8">
        <v>21</v>
      </c>
      <c r="M8">
        <v>1</v>
      </c>
      <c r="N8" t="s">
        <v>281</v>
      </c>
      <c r="O8" t="s">
        <v>281</v>
      </c>
      <c r="P8">
        <v>1</v>
      </c>
      <c r="Q8">
        <v>1</v>
      </c>
      <c r="R8">
        <v>1</v>
      </c>
      <c r="S8">
        <v>91</v>
      </c>
      <c r="T8">
        <v>1</v>
      </c>
      <c r="U8">
        <v>1</v>
      </c>
      <c r="V8" t="s">
        <v>282</v>
      </c>
      <c r="W8">
        <v>9000</v>
      </c>
      <c r="X8" t="s">
        <v>38</v>
      </c>
      <c r="Y8">
        <v>8</v>
      </c>
      <c r="Z8" t="s">
        <v>283</v>
      </c>
    </row>
    <row r="9" spans="1:27" x14ac:dyDescent="0.25">
      <c r="A9" t="s">
        <v>274</v>
      </c>
      <c r="B9" t="s">
        <v>275</v>
      </c>
      <c r="C9" t="s">
        <v>284</v>
      </c>
      <c r="D9" s="23" t="s">
        <v>285</v>
      </c>
      <c r="E9" t="s">
        <v>278</v>
      </c>
      <c r="F9" t="s">
        <v>284</v>
      </c>
      <c r="G9" s="23" t="s">
        <v>285</v>
      </c>
      <c r="H9" t="s">
        <v>277</v>
      </c>
      <c r="I9">
        <v>21</v>
      </c>
      <c r="J9">
        <v>1</v>
      </c>
      <c r="K9" t="s">
        <v>280</v>
      </c>
      <c r="L9">
        <v>21</v>
      </c>
      <c r="M9">
        <v>1</v>
      </c>
      <c r="N9" t="s">
        <v>281</v>
      </c>
      <c r="O9" t="s">
        <v>281</v>
      </c>
      <c r="P9">
        <v>1</v>
      </c>
      <c r="Q9">
        <v>1</v>
      </c>
      <c r="R9">
        <v>1</v>
      </c>
      <c r="S9">
        <v>91</v>
      </c>
      <c r="T9">
        <v>1</v>
      </c>
      <c r="U9">
        <v>1</v>
      </c>
      <c r="V9" t="s">
        <v>282</v>
      </c>
      <c r="W9">
        <v>9000</v>
      </c>
      <c r="X9" t="s">
        <v>38</v>
      </c>
      <c r="Y9">
        <v>8</v>
      </c>
      <c r="Z9" t="s">
        <v>283</v>
      </c>
    </row>
    <row r="10" spans="1:27" x14ac:dyDescent="0.25">
      <c r="A10" t="s">
        <v>274</v>
      </c>
      <c r="B10" t="s">
        <v>276</v>
      </c>
      <c r="C10" t="s">
        <v>284</v>
      </c>
      <c r="D10" s="23" t="s">
        <v>285</v>
      </c>
      <c r="E10" t="s">
        <v>278</v>
      </c>
      <c r="F10" t="s">
        <v>284</v>
      </c>
      <c r="G10" s="23" t="s">
        <v>285</v>
      </c>
      <c r="H10" t="s">
        <v>277</v>
      </c>
      <c r="I10">
        <v>21</v>
      </c>
      <c r="J10">
        <v>1</v>
      </c>
      <c r="K10" t="s">
        <v>280</v>
      </c>
      <c r="L10">
        <v>21</v>
      </c>
      <c r="M10">
        <v>1</v>
      </c>
      <c r="N10" t="s">
        <v>281</v>
      </c>
      <c r="O10" t="s">
        <v>281</v>
      </c>
      <c r="P10">
        <v>1</v>
      </c>
      <c r="Q10">
        <v>1</v>
      </c>
      <c r="R10">
        <v>1</v>
      </c>
      <c r="S10">
        <v>91</v>
      </c>
      <c r="T10">
        <v>1</v>
      </c>
      <c r="U10">
        <v>1</v>
      </c>
      <c r="V10" t="s">
        <v>282</v>
      </c>
      <c r="W10">
        <v>9000</v>
      </c>
      <c r="X10" t="s">
        <v>38</v>
      </c>
      <c r="Y10">
        <v>8</v>
      </c>
      <c r="Z10" t="s">
        <v>283</v>
      </c>
    </row>
    <row r="11" spans="1:27" x14ac:dyDescent="0.25">
      <c r="A11" t="s">
        <v>274</v>
      </c>
      <c r="B11" t="s">
        <v>275</v>
      </c>
      <c r="C11" t="s">
        <v>284</v>
      </c>
      <c r="D11" s="23" t="s">
        <v>285</v>
      </c>
      <c r="E11" t="s">
        <v>278</v>
      </c>
      <c r="F11" t="s">
        <v>284</v>
      </c>
      <c r="G11" s="23" t="s">
        <v>285</v>
      </c>
      <c r="H11" t="s">
        <v>277</v>
      </c>
      <c r="I11">
        <v>21</v>
      </c>
      <c r="J11">
        <v>1</v>
      </c>
      <c r="K11" t="s">
        <v>280</v>
      </c>
      <c r="L11">
        <v>21</v>
      </c>
      <c r="M11">
        <v>1</v>
      </c>
      <c r="N11" t="s">
        <v>281</v>
      </c>
      <c r="O11" t="s">
        <v>281</v>
      </c>
      <c r="P11">
        <v>1</v>
      </c>
      <c r="Q11">
        <v>1</v>
      </c>
      <c r="R11">
        <v>1</v>
      </c>
      <c r="S11">
        <v>91</v>
      </c>
      <c r="T11">
        <v>1</v>
      </c>
      <c r="U11">
        <v>1</v>
      </c>
      <c r="V11" t="s">
        <v>282</v>
      </c>
      <c r="W11">
        <v>9000</v>
      </c>
      <c r="X11" t="s">
        <v>38</v>
      </c>
      <c r="Y11">
        <v>8</v>
      </c>
      <c r="Z11" t="s">
        <v>283</v>
      </c>
    </row>
    <row r="12" spans="1:27" x14ac:dyDescent="0.25">
      <c r="A12" t="s">
        <v>274</v>
      </c>
      <c r="B12" t="s">
        <v>276</v>
      </c>
      <c r="C12" t="s">
        <v>284</v>
      </c>
      <c r="D12" s="23" t="s">
        <v>285</v>
      </c>
      <c r="E12" t="s">
        <v>278</v>
      </c>
      <c r="F12" t="s">
        <v>284</v>
      </c>
      <c r="G12" s="23" t="s">
        <v>285</v>
      </c>
      <c r="H12" t="s">
        <v>277</v>
      </c>
      <c r="I12">
        <v>21</v>
      </c>
      <c r="J12">
        <v>1</v>
      </c>
      <c r="K12" t="s">
        <v>280</v>
      </c>
      <c r="L12">
        <v>21</v>
      </c>
      <c r="M12">
        <v>1</v>
      </c>
      <c r="N12" t="s">
        <v>281</v>
      </c>
      <c r="O12" t="s">
        <v>281</v>
      </c>
      <c r="P12">
        <v>1</v>
      </c>
      <c r="Q12">
        <v>1</v>
      </c>
      <c r="R12">
        <v>1</v>
      </c>
      <c r="S12">
        <v>91</v>
      </c>
      <c r="T12">
        <v>1</v>
      </c>
      <c r="U12">
        <v>1</v>
      </c>
      <c r="V12" t="s">
        <v>282</v>
      </c>
      <c r="W12">
        <v>9000</v>
      </c>
      <c r="X12" t="s">
        <v>38</v>
      </c>
      <c r="Y12">
        <v>8</v>
      </c>
      <c r="Z12" t="s">
        <v>283</v>
      </c>
    </row>
    <row r="13" spans="1:27" x14ac:dyDescent="0.25">
      <c r="D13" s="23"/>
      <c r="G13" s="23"/>
    </row>
    <row r="14" spans="1:27" x14ac:dyDescent="0.25">
      <c r="D14" s="23"/>
      <c r="G14" s="23"/>
    </row>
    <row r="15" spans="1:27" x14ac:dyDescent="0.25">
      <c r="D15" s="23"/>
      <c r="G15" s="23"/>
    </row>
    <row r="16" spans="1:27" x14ac:dyDescent="0.25">
      <c r="D16" s="23"/>
      <c r="G16" s="23"/>
    </row>
    <row r="17" spans="4:7" x14ac:dyDescent="0.25">
      <c r="D17" s="23"/>
      <c r="G17" s="23"/>
    </row>
    <row r="18" spans="4:7" x14ac:dyDescent="0.25">
      <c r="D18" s="23"/>
      <c r="G18" s="23"/>
    </row>
    <row r="19" spans="4:7" x14ac:dyDescent="0.25">
      <c r="D19" s="23"/>
      <c r="G19" s="23"/>
    </row>
    <row r="20" spans="4:7" x14ac:dyDescent="0.25">
      <c r="D20" s="23"/>
      <c r="G20" s="23"/>
    </row>
  </sheetData>
  <mergeCells count="5">
    <mergeCell ref="A1:AA1"/>
    <mergeCell ref="A2:H3"/>
    <mergeCell ref="I2:M3"/>
    <mergeCell ref="N2:Q3"/>
    <mergeCell ref="R2:AA3"/>
  </mergeCells>
  <dataValidations count="10">
    <dataValidation type="list" allowBlank="1" showInputMessage="1" showErrorMessage="1" sqref="R70001:R1048576 T5:T505" xr:uid="{44C496E8-ACBB-4731-A0AB-650D0FAAF6D5}">
      <formula1>"1,2"</formula1>
    </dataValidation>
    <dataValidation type="list" allowBlank="1" showInputMessage="1" showErrorMessage="1" sqref="Z5:Z505 X5:X505" xr:uid="{76E691B6-83B5-4DD3-95E8-91C8AFA32012}">
      <formula1>"SI,NO"</formula1>
    </dataValidation>
    <dataValidation type="list" allowBlank="1" showInputMessage="1" showErrorMessage="1" promptTitle="Unidades de Peso" prompt="1 - Kilogramos_x000a_2 - Libras_x000a_3 - Toneladas" sqref="M5:M505" xr:uid="{EDAA227A-44AC-4883-9BB4-816844E41232}">
      <formula1>"1,2,3"</formula1>
    </dataValidation>
    <dataValidation type="list" allowBlank="1" showInputMessage="1" showErrorMessage="1" sqref="Y5:Y65254" xr:uid="{36C6AD76-EE39-4754-81A0-5AC050D38984}">
      <formula1>"0,8,11,16"</formula1>
    </dataValidation>
    <dataValidation type="list" allowBlank="1" showInputMessage="1" showErrorMessage="1" sqref="AA5:AA70000" xr:uid="{3404C13C-427C-4BBB-A401-EABAB3C1DC97}">
      <formula1>"0,4"</formula1>
    </dataValidation>
    <dataValidation allowBlank="1" showInputMessage="1" showErrorMessage="1" promptTitle="Lista de regiones" prompt="1 - Región Noroeste_x000a_2 - Región Noreste_x000a_3 - Región Occidente_x000a_4 - Región Oriente_x000a_5 - Región Centronorte_x000a_6 - Región Centrosur_x000a_7 - Región Suroeste_x000a_8 - Región Sureste" sqref="Q5:Q70000" xr:uid="{7EC24403-FF3C-496E-93BD-580F9336DA84}"/>
    <dataValidation type="list" allowBlank="1" showInputMessage="1" showErrorMessage="1" promptTitle="Condiciones de Pago" prompt="1 - Crédito_x000a_2 - Contado" sqref="R5:R70000" xr:uid="{CE728961-2EDB-474C-8EF5-7E3D267FE032}">
      <formula1>"1,2"</formula1>
    </dataValidation>
    <dataValidation type="list" allowBlank="1" showInputMessage="1" showErrorMessage="1" promptTitle="Moneda" prompt="1 - Pesos Mexicanos_x000a_2 - Dolares Americanos" sqref="U5:U70000" xr:uid="{B3C853DE-422D-4A21-B36D-D599CF0D7736}">
      <formula1>"1,2"</formula1>
    </dataValidation>
    <dataValidation type="list" allowBlank="1" showInputMessage="1" showErrorMessage="1" sqref="A5:A505" xr:uid="{ECC45135-4187-45FD-BFC6-80FE77C79BA9}">
      <formula1>Clientes</formula1>
    </dataValidation>
    <dataValidation type="list" allowBlank="1" showInputMessage="1" showErrorMessage="1" prompt="Estos Remitentes/Destinatarios pertenecen al cliente seleccionado" sqref="E5:E505 H5:H505" xr:uid="{C2C26960-7F57-4E70-A91D-92A145BFD3ED}">
      <formula1>RemitenteDestinatario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alculateFormulas">
                <anchor moveWithCells="1" sizeWithCells="1">
                  <from>
                    <xdr:col>1</xdr:col>
                    <xdr:colOff>66675</xdr:colOff>
                    <xdr:row>1</xdr:row>
                    <xdr:rowOff>104775</xdr:rowOff>
                  </from>
                  <to>
                    <xdr:col>1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6AAB06-E8BB-4636-A2EA-CBBD3663E6F2}">
          <x14:formula1>
            <xm:f>'Forma de pago'!$A$2:$A$23</xm:f>
          </x14:formula1>
          <xm:sqref>S13:S505</xm:sqref>
        </x14:dataValidation>
        <x14:dataValidation type="list" allowBlank="1" showInputMessage="1" showErrorMessage="1" xr:uid="{C67A490B-E231-4B2E-AE7D-E7EECC51FF42}">
          <x14:formula1>
            <xm:f>'Unidad de embalaje'!$A$2:$A$55</xm:f>
          </x14:formula1>
          <xm:sqref>J13:J505</xm:sqref>
        </x14:dataValidation>
        <x14:dataValidation type="list" allowBlank="1" showInputMessage="1" showErrorMessage="1" xr:uid="{25CFC04A-F75A-4EC6-AFD0-4822E1FFF06B}">
          <x14:formula1>
            <xm:f>'Tipo de unidad'!$C$2:$C$25</xm:f>
          </x14:formula1>
          <xm:sqref>P105:P505</xm:sqref>
        </x14:dataValidation>
        <x14:dataValidation type="list" allowBlank="1" showInputMessage="1" showErrorMessage="1" xr:uid="{AB01FD83-FCC9-4396-BA9D-AEE273CCDB2B}">
          <x14:formula1>
            <xm:f>'Tipo de unidad'!$A$2:$A$25</xm:f>
          </x14:formula1>
          <xm:sqref>P13:P104</xm:sqref>
        </x14:dataValidation>
        <x14:dataValidation type="list" allowBlank="1" showInputMessage="1" showErrorMessage="1" promptTitle="Seleccione una ruta de la lista" prompt="Estas rutas pertenecen al cliente seleccionado" xr:uid="{340D0313-D743-4581-B130-1CBA2BF740C4}">
          <x14:formula1>
            <xm:f>INDIRECT(ADDRESS(ROW('Rutas-Trayectos'!$D$3), COLUMN('Rutas-Trayectos'!$D$1) + MATCH(A5,_xlfn.ANCHORARRAY( 'Rutas-Trayectos'!$E$2), 0), 4,,"Rutas-Trayectos") &amp; "#")</xm:f>
          </x14:formula1>
          <xm:sqref>B5:B505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D30"/>
  <sheetViews>
    <sheetView workbookViewId="0">
      <selection activeCell="E20" sqref="E20"/>
    </sheetView>
  </sheetViews>
  <sheetFormatPr defaultColWidth="9.28515625" defaultRowHeight="15" x14ac:dyDescent="0.25"/>
  <cols>
    <col min="1" max="1" width="44.140625" bestFit="1" customWidth="1"/>
    <col min="2" max="2" width="12.28515625" bestFit="1" customWidth="1"/>
    <col min="3" max="3" width="59.85546875" bestFit="1" customWidth="1"/>
    <col min="4" max="4" width="43.42578125" bestFit="1" customWidth="1"/>
    <col min="5" max="5" width="17.85546875" bestFit="1" customWidth="1"/>
  </cols>
  <sheetData>
    <row r="1" spans="1:4" ht="23.25" customHeight="1" x14ac:dyDescent="0.35">
      <c r="A1" s="7" t="s">
        <v>32</v>
      </c>
      <c r="B1" s="7"/>
      <c r="C1" s="7"/>
      <c r="D1" s="8"/>
    </row>
    <row r="2" spans="1:4" ht="15.75" customHeight="1" x14ac:dyDescent="0.25">
      <c r="A2" s="9" t="s">
        <v>33</v>
      </c>
      <c r="B2" s="9"/>
      <c r="C2" s="9"/>
      <c r="D2" s="10"/>
    </row>
    <row r="3" spans="1:4" ht="18.75" customHeight="1" x14ac:dyDescent="0.25">
      <c r="A3" s="11" t="s">
        <v>34</v>
      </c>
      <c r="B3" s="12" t="s">
        <v>35</v>
      </c>
      <c r="C3" s="12" t="s">
        <v>36</v>
      </c>
      <c r="D3" s="13" t="s">
        <v>37</v>
      </c>
    </row>
    <row r="4" spans="1:4" ht="15.75" customHeight="1" x14ac:dyDescent="0.25">
      <c r="A4" s="14" t="s">
        <v>5</v>
      </c>
      <c r="B4" s="15" t="s">
        <v>38</v>
      </c>
      <c r="C4" s="16" t="s">
        <v>39</v>
      </c>
      <c r="D4" s="14" t="s">
        <v>40</v>
      </c>
    </row>
    <row r="5" spans="1:4" ht="18.75" customHeight="1" x14ac:dyDescent="0.25">
      <c r="A5" s="14" t="s">
        <v>6</v>
      </c>
      <c r="B5" s="15" t="s">
        <v>38</v>
      </c>
      <c r="C5" s="17" t="s">
        <v>41</v>
      </c>
      <c r="D5" s="14" t="s">
        <v>40</v>
      </c>
    </row>
    <row r="6" spans="1:4" ht="15.75" customHeight="1" x14ac:dyDescent="0.25">
      <c r="A6" s="14" t="s">
        <v>7</v>
      </c>
      <c r="B6" s="15" t="s">
        <v>38</v>
      </c>
      <c r="C6" s="16" t="s">
        <v>42</v>
      </c>
      <c r="D6" s="18" t="s">
        <v>43</v>
      </c>
    </row>
    <row r="7" spans="1:4" ht="15.75" customHeight="1" x14ac:dyDescent="0.25">
      <c r="A7" s="14" t="s">
        <v>8</v>
      </c>
      <c r="B7" s="15" t="s">
        <v>38</v>
      </c>
      <c r="C7" s="16" t="s">
        <v>44</v>
      </c>
      <c r="D7" s="18" t="s">
        <v>45</v>
      </c>
    </row>
    <row r="8" spans="1:4" ht="15.75" customHeight="1" x14ac:dyDescent="0.25">
      <c r="A8" s="14" t="s">
        <v>9</v>
      </c>
      <c r="B8" s="15" t="s">
        <v>38</v>
      </c>
      <c r="C8" s="16" t="s">
        <v>46</v>
      </c>
      <c r="D8" s="14" t="s">
        <v>40</v>
      </c>
    </row>
    <row r="9" spans="1:4" ht="15.75" customHeight="1" x14ac:dyDescent="0.25">
      <c r="A9" s="14" t="s">
        <v>10</v>
      </c>
      <c r="B9" s="15" t="s">
        <v>38</v>
      </c>
      <c r="C9" s="16" t="s">
        <v>47</v>
      </c>
      <c r="D9" s="18" t="s">
        <v>43</v>
      </c>
    </row>
    <row r="10" spans="1:4" ht="15.75" customHeight="1" x14ac:dyDescent="0.25">
      <c r="A10" s="14" t="s">
        <v>11</v>
      </c>
      <c r="B10" s="15" t="s">
        <v>38</v>
      </c>
      <c r="C10" s="16" t="s">
        <v>48</v>
      </c>
      <c r="D10" s="18" t="s">
        <v>45</v>
      </c>
    </row>
    <row r="11" spans="1:4" ht="15.75" customHeight="1" x14ac:dyDescent="0.25">
      <c r="A11" s="14" t="s">
        <v>12</v>
      </c>
      <c r="B11" s="15" t="s">
        <v>38</v>
      </c>
      <c r="C11" s="16" t="s">
        <v>49</v>
      </c>
      <c r="D11" s="14" t="s">
        <v>40</v>
      </c>
    </row>
    <row r="12" spans="1:4" ht="42.75" customHeight="1" x14ac:dyDescent="0.25">
      <c r="A12" s="14" t="s">
        <v>13</v>
      </c>
      <c r="B12" s="15" t="s">
        <v>38</v>
      </c>
      <c r="C12" s="19" t="s">
        <v>50</v>
      </c>
      <c r="D12" s="14" t="s">
        <v>272</v>
      </c>
    </row>
    <row r="13" spans="1:4" ht="45.75" customHeight="1" x14ac:dyDescent="0.25">
      <c r="A13" s="14" t="s">
        <v>14</v>
      </c>
      <c r="B13" s="15" t="s">
        <v>38</v>
      </c>
      <c r="C13" s="14" t="s">
        <v>51</v>
      </c>
      <c r="D13" s="20" t="s">
        <v>52</v>
      </c>
    </row>
    <row r="14" spans="1:4" ht="27.75" customHeight="1" x14ac:dyDescent="0.25">
      <c r="A14" s="14" t="s">
        <v>15</v>
      </c>
      <c r="B14" s="15" t="s">
        <v>38</v>
      </c>
      <c r="C14" s="19" t="s">
        <v>53</v>
      </c>
      <c r="D14" s="14" t="s">
        <v>40</v>
      </c>
    </row>
    <row r="15" spans="1:4" ht="36" customHeight="1" x14ac:dyDescent="0.25">
      <c r="A15" s="14" t="s">
        <v>16</v>
      </c>
      <c r="B15" s="15" t="s">
        <v>38</v>
      </c>
      <c r="C15" s="19" t="s">
        <v>54</v>
      </c>
      <c r="D15" s="14" t="s">
        <v>273</v>
      </c>
    </row>
    <row r="16" spans="1:4" ht="61.5" customHeight="1" x14ac:dyDescent="0.25">
      <c r="A16" s="14" t="s">
        <v>17</v>
      </c>
      <c r="B16" s="15" t="s">
        <v>38</v>
      </c>
      <c r="C16" s="18" t="s">
        <v>55</v>
      </c>
      <c r="D16" s="18" t="s">
        <v>56</v>
      </c>
    </row>
    <row r="17" spans="1:4" ht="33" customHeight="1" x14ac:dyDescent="0.25">
      <c r="A17" s="14" t="s">
        <v>18</v>
      </c>
      <c r="B17" s="15" t="s">
        <v>38</v>
      </c>
      <c r="C17" s="18" t="s">
        <v>57</v>
      </c>
      <c r="D17" s="14" t="s">
        <v>40</v>
      </c>
    </row>
    <row r="18" spans="1:4" ht="30" customHeight="1" x14ac:dyDescent="0.25">
      <c r="A18" s="14" t="s">
        <v>19</v>
      </c>
      <c r="B18" s="15" t="s">
        <v>38</v>
      </c>
      <c r="C18" s="18" t="s">
        <v>58</v>
      </c>
      <c r="D18" s="14" t="s">
        <v>40</v>
      </c>
    </row>
    <row r="19" spans="1:4" ht="42" customHeight="1" x14ac:dyDescent="0.25">
      <c r="A19" s="14" t="s">
        <v>20</v>
      </c>
      <c r="B19" s="15" t="s">
        <v>38</v>
      </c>
      <c r="C19" s="14" t="s">
        <v>59</v>
      </c>
      <c r="D19" s="20" t="s">
        <v>60</v>
      </c>
    </row>
    <row r="20" spans="1:4" ht="31.5" customHeight="1" x14ac:dyDescent="0.25">
      <c r="A20" s="14" t="s">
        <v>61</v>
      </c>
      <c r="B20" s="15" t="s">
        <v>38</v>
      </c>
      <c r="C20" s="17" t="s">
        <v>62</v>
      </c>
      <c r="D20" s="20" t="s">
        <v>63</v>
      </c>
    </row>
    <row r="21" spans="1:4" ht="51.75" customHeight="1" x14ac:dyDescent="0.25">
      <c r="A21" s="14" t="s">
        <v>22</v>
      </c>
      <c r="B21" s="15" t="s">
        <v>38</v>
      </c>
      <c r="C21" s="16" t="s">
        <v>64</v>
      </c>
      <c r="D21" s="18"/>
    </row>
    <row r="22" spans="1:4" ht="42.75" customHeight="1" x14ac:dyDescent="0.25">
      <c r="A22" s="14" t="s">
        <v>23</v>
      </c>
      <c r="B22" s="15" t="s">
        <v>38</v>
      </c>
      <c r="C22" s="14" t="s">
        <v>65</v>
      </c>
      <c r="D22" s="20" t="s">
        <v>66</v>
      </c>
    </row>
    <row r="23" spans="1:4" ht="44.25" customHeight="1" x14ac:dyDescent="0.25">
      <c r="A23" s="14" t="s">
        <v>24</v>
      </c>
      <c r="B23" s="15" t="s">
        <v>38</v>
      </c>
      <c r="C23" s="16" t="s">
        <v>67</v>
      </c>
      <c r="D23" s="18"/>
    </row>
    <row r="24" spans="1:4" ht="51" customHeight="1" x14ac:dyDescent="0.25">
      <c r="A24" s="14" t="s">
        <v>25</v>
      </c>
      <c r="B24" s="15" t="s">
        <v>38</v>
      </c>
      <c r="C24" s="16" t="s">
        <v>68</v>
      </c>
      <c r="D24" s="18"/>
    </row>
    <row r="25" spans="1:4" ht="15.75" customHeight="1" x14ac:dyDescent="0.25">
      <c r="A25" s="14" t="s">
        <v>69</v>
      </c>
      <c r="B25" s="15" t="s">
        <v>38</v>
      </c>
      <c r="C25" s="16" t="s">
        <v>70</v>
      </c>
      <c r="D25" s="14" t="s">
        <v>40</v>
      </c>
    </row>
    <row r="26" spans="1:4" ht="15.75" customHeight="1" x14ac:dyDescent="0.25">
      <c r="A26" s="14" t="s">
        <v>27</v>
      </c>
      <c r="B26" s="15" t="s">
        <v>38</v>
      </c>
      <c r="C26" s="16" t="s">
        <v>71</v>
      </c>
      <c r="D26" s="18" t="s">
        <v>72</v>
      </c>
    </row>
    <row r="27" spans="1:4" ht="15.75" customHeight="1" x14ac:dyDescent="0.25">
      <c r="A27" s="14" t="s">
        <v>28</v>
      </c>
      <c r="B27" s="15" t="s">
        <v>73</v>
      </c>
      <c r="C27" s="16" t="s">
        <v>74</v>
      </c>
      <c r="D27" s="18"/>
    </row>
    <row r="28" spans="1:4" ht="15.75" customHeight="1" x14ac:dyDescent="0.25">
      <c r="A28" s="14" t="s">
        <v>29</v>
      </c>
      <c r="B28" s="15" t="s">
        <v>75</v>
      </c>
      <c r="C28" s="16" t="s">
        <v>76</v>
      </c>
      <c r="D28" s="18" t="s">
        <v>77</v>
      </c>
    </row>
    <row r="29" spans="1:4" ht="15.75" customHeight="1" x14ac:dyDescent="0.25">
      <c r="A29" s="14" t="s">
        <v>30</v>
      </c>
      <c r="B29" s="15" t="s">
        <v>73</v>
      </c>
      <c r="C29" s="16" t="s">
        <v>74</v>
      </c>
      <c r="D29" s="18"/>
    </row>
    <row r="30" spans="1:4" ht="15.75" customHeight="1" x14ac:dyDescent="0.25">
      <c r="A30" s="14" t="s">
        <v>31</v>
      </c>
      <c r="B30" s="15" t="s">
        <v>75</v>
      </c>
      <c r="C30" s="16" t="s">
        <v>78</v>
      </c>
      <c r="D30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C23"/>
  <sheetViews>
    <sheetView workbookViewId="0">
      <selection activeCell="C5" sqref="C5"/>
    </sheetView>
  </sheetViews>
  <sheetFormatPr defaultColWidth="9.28515625" defaultRowHeight="15" x14ac:dyDescent="0.25"/>
  <cols>
    <col min="1" max="1" width="9.28515625" style="6" bestFit="1" customWidth="1"/>
    <col min="2" max="2" width="9.28515625" bestFit="1" customWidth="1"/>
    <col min="3" max="3" width="38" bestFit="1" customWidth="1"/>
    <col min="4" max="4" width="43.42578125" bestFit="1" customWidth="1"/>
  </cols>
  <sheetData>
    <row r="1" spans="1:3" ht="15" customHeight="1" x14ac:dyDescent="0.25">
      <c r="A1" s="2" t="s">
        <v>80</v>
      </c>
      <c r="B1" s="3" t="s">
        <v>81</v>
      </c>
      <c r="C1" s="3" t="s">
        <v>82</v>
      </c>
    </row>
    <row r="2" spans="1:3" ht="15" customHeight="1" x14ac:dyDescent="0.25">
      <c r="A2" s="4">
        <v>91</v>
      </c>
      <c r="B2" s="5" t="s">
        <v>83</v>
      </c>
      <c r="C2" s="5" t="s">
        <v>84</v>
      </c>
    </row>
    <row r="3" spans="1:3" ht="15" customHeight="1" x14ac:dyDescent="0.25">
      <c r="A3" s="4">
        <v>232</v>
      </c>
      <c r="B3" s="5" t="s">
        <v>85</v>
      </c>
      <c r="C3" s="5" t="s">
        <v>86</v>
      </c>
    </row>
    <row r="4" spans="1:3" ht="15" customHeight="1" x14ac:dyDescent="0.25">
      <c r="A4" s="4">
        <v>420</v>
      </c>
      <c r="B4" s="5" t="s">
        <v>87</v>
      </c>
      <c r="C4" s="5" t="s">
        <v>88</v>
      </c>
    </row>
    <row r="5" spans="1:3" ht="15" customHeight="1" x14ac:dyDescent="0.25">
      <c r="A5" s="4">
        <v>838</v>
      </c>
      <c r="B5" s="5" t="s">
        <v>89</v>
      </c>
      <c r="C5" s="5" t="s">
        <v>90</v>
      </c>
    </row>
    <row r="6" spans="1:3" ht="15" customHeight="1" x14ac:dyDescent="0.25">
      <c r="A6" s="4">
        <v>1018</v>
      </c>
      <c r="B6" s="5" t="s">
        <v>91</v>
      </c>
      <c r="C6" s="5" t="s">
        <v>92</v>
      </c>
    </row>
    <row r="7" spans="1:3" ht="15" customHeight="1" x14ac:dyDescent="0.25">
      <c r="A7" s="4">
        <v>1076</v>
      </c>
      <c r="B7" s="5" t="s">
        <v>93</v>
      </c>
      <c r="C7" s="5" t="s">
        <v>94</v>
      </c>
    </row>
    <row r="8" spans="1:3" ht="15" customHeight="1" x14ac:dyDescent="0.25">
      <c r="A8" s="4">
        <v>1258</v>
      </c>
      <c r="B8" s="5" t="s">
        <v>95</v>
      </c>
      <c r="C8" s="5" t="s">
        <v>96</v>
      </c>
    </row>
    <row r="9" spans="1:3" ht="15" customHeight="1" x14ac:dyDescent="0.25">
      <c r="A9" s="4">
        <v>18228</v>
      </c>
      <c r="B9" s="5" t="s">
        <v>97</v>
      </c>
      <c r="C9" s="5" t="s">
        <v>98</v>
      </c>
    </row>
    <row r="10" spans="1:3" ht="15" customHeight="1" x14ac:dyDescent="0.25">
      <c r="A10" s="4">
        <v>19325</v>
      </c>
      <c r="B10" s="5" t="s">
        <v>99</v>
      </c>
      <c r="C10" s="5" t="s">
        <v>100</v>
      </c>
    </row>
    <row r="11" spans="1:3" ht="15" customHeight="1" x14ac:dyDescent="0.25">
      <c r="A11" s="4">
        <v>19824</v>
      </c>
      <c r="B11" s="5" t="s">
        <v>101</v>
      </c>
      <c r="C11" s="5" t="s">
        <v>102</v>
      </c>
    </row>
    <row r="12" spans="1:3" ht="15" customHeight="1" x14ac:dyDescent="0.25">
      <c r="A12" s="4">
        <v>20205</v>
      </c>
      <c r="B12" s="5" t="s">
        <v>103</v>
      </c>
      <c r="C12" s="5" t="s">
        <v>104</v>
      </c>
    </row>
    <row r="13" spans="1:3" ht="15" customHeight="1" x14ac:dyDescent="0.25">
      <c r="A13" s="4">
        <v>20697</v>
      </c>
      <c r="B13" s="5" t="s">
        <v>105</v>
      </c>
      <c r="C13" s="5" t="s">
        <v>106</v>
      </c>
    </row>
    <row r="14" spans="1:3" ht="15" customHeight="1" x14ac:dyDescent="0.25">
      <c r="A14" s="4">
        <v>23274</v>
      </c>
      <c r="B14" s="5" t="s">
        <v>107</v>
      </c>
      <c r="C14" s="5" t="s">
        <v>108</v>
      </c>
    </row>
    <row r="15" spans="1:3" ht="15" customHeight="1" x14ac:dyDescent="0.25">
      <c r="A15" s="4">
        <v>25070</v>
      </c>
      <c r="B15" s="5" t="s">
        <v>109</v>
      </c>
      <c r="C15" s="5" t="s">
        <v>110</v>
      </c>
    </row>
    <row r="16" spans="1:3" ht="15" customHeight="1" x14ac:dyDescent="0.25">
      <c r="A16" s="4">
        <v>25913</v>
      </c>
      <c r="B16" s="5" t="s">
        <v>111</v>
      </c>
      <c r="C16" s="5" t="s">
        <v>112</v>
      </c>
    </row>
    <row r="17" spans="1:3" ht="15" customHeight="1" x14ac:dyDescent="0.25">
      <c r="A17" s="4">
        <v>27705</v>
      </c>
      <c r="B17" s="5" t="s">
        <v>113</v>
      </c>
      <c r="C17" s="5" t="s">
        <v>114</v>
      </c>
    </row>
    <row r="18" spans="1:3" ht="15" customHeight="1" x14ac:dyDescent="0.25">
      <c r="A18" s="4">
        <v>28938</v>
      </c>
      <c r="B18" s="5" t="s">
        <v>115</v>
      </c>
      <c r="C18" s="5" t="s">
        <v>116</v>
      </c>
    </row>
    <row r="19" spans="1:3" ht="15" customHeight="1" x14ac:dyDescent="0.25">
      <c r="A19" s="4">
        <v>30363</v>
      </c>
      <c r="B19" s="5" t="s">
        <v>117</v>
      </c>
      <c r="C19" s="5" t="s">
        <v>118</v>
      </c>
    </row>
    <row r="20" spans="1:3" ht="15" customHeight="1" x14ac:dyDescent="0.25">
      <c r="A20" s="4">
        <v>30663</v>
      </c>
      <c r="B20" s="5" t="s">
        <v>119</v>
      </c>
      <c r="C20" s="5" t="s">
        <v>120</v>
      </c>
    </row>
    <row r="21" spans="1:3" ht="15" customHeight="1" x14ac:dyDescent="0.25">
      <c r="A21" s="4">
        <v>31755</v>
      </c>
      <c r="B21" s="5" t="s">
        <v>121</v>
      </c>
      <c r="C21" s="5" t="s">
        <v>122</v>
      </c>
    </row>
    <row r="22" spans="1:3" ht="15" customHeight="1" x14ac:dyDescent="0.25">
      <c r="A22" s="4">
        <v>33948</v>
      </c>
      <c r="B22" s="5" t="s">
        <v>123</v>
      </c>
      <c r="C22" s="5" t="s">
        <v>124</v>
      </c>
    </row>
    <row r="23" spans="1:3" ht="15" customHeight="1" x14ac:dyDescent="0.25">
      <c r="A23" s="4">
        <v>115562</v>
      </c>
      <c r="B23" s="5" t="s">
        <v>125</v>
      </c>
      <c r="C23" s="5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C55"/>
  <sheetViews>
    <sheetView workbookViewId="0">
      <selection activeCell="D54" sqref="D54"/>
    </sheetView>
  </sheetViews>
  <sheetFormatPr defaultColWidth="9.28515625" defaultRowHeight="15" x14ac:dyDescent="0.25"/>
  <cols>
    <col min="1" max="1" width="16" style="6" bestFit="1" customWidth="1"/>
    <col min="2" max="2" width="20.7109375" bestFit="1" customWidth="1"/>
    <col min="3" max="3" width="19.42578125" bestFit="1" customWidth="1"/>
    <col min="4" max="4" width="22" bestFit="1" customWidth="1"/>
  </cols>
  <sheetData>
    <row r="1" spans="1:3" ht="15" customHeight="1" x14ac:dyDescent="0.25">
      <c r="A1" s="2" t="s">
        <v>127</v>
      </c>
      <c r="B1" s="3" t="s">
        <v>127</v>
      </c>
      <c r="C1" s="3" t="s">
        <v>127</v>
      </c>
    </row>
    <row r="2" spans="1:3" ht="15" customHeight="1" x14ac:dyDescent="0.25">
      <c r="A2" s="4">
        <v>1</v>
      </c>
      <c r="B2" s="5" t="s">
        <v>128</v>
      </c>
      <c r="C2" s="5" t="s">
        <v>129</v>
      </c>
    </row>
    <row r="3" spans="1:3" ht="15" customHeight="1" x14ac:dyDescent="0.25">
      <c r="A3" s="4">
        <v>2</v>
      </c>
      <c r="B3" s="5" t="s">
        <v>130</v>
      </c>
      <c r="C3" s="5" t="s">
        <v>131</v>
      </c>
    </row>
    <row r="4" spans="1:3" ht="15" customHeight="1" x14ac:dyDescent="0.25">
      <c r="A4" s="4">
        <v>3</v>
      </c>
      <c r="B4" s="5" t="s">
        <v>132</v>
      </c>
      <c r="C4" s="5" t="s">
        <v>133</v>
      </c>
    </row>
    <row r="5" spans="1:3" ht="15" customHeight="1" x14ac:dyDescent="0.25">
      <c r="A5" s="4">
        <v>4</v>
      </c>
      <c r="B5" s="5" t="s">
        <v>134</v>
      </c>
      <c r="C5" s="5" t="s">
        <v>135</v>
      </c>
    </row>
    <row r="6" spans="1:3" ht="15" customHeight="1" x14ac:dyDescent="0.25">
      <c r="A6" s="4">
        <v>5</v>
      </c>
      <c r="B6" s="5" t="s">
        <v>136</v>
      </c>
      <c r="C6" s="5" t="s">
        <v>137</v>
      </c>
    </row>
    <row r="7" spans="1:3" ht="15" customHeight="1" x14ac:dyDescent="0.25">
      <c r="A7" s="4">
        <v>6</v>
      </c>
      <c r="B7" s="5" t="s">
        <v>138</v>
      </c>
      <c r="C7" s="5" t="s">
        <v>139</v>
      </c>
    </row>
    <row r="8" spans="1:3" ht="15" customHeight="1" x14ac:dyDescent="0.25">
      <c r="A8" s="4">
        <v>7</v>
      </c>
      <c r="B8" s="5" t="s">
        <v>140</v>
      </c>
      <c r="C8" s="5" t="s">
        <v>141</v>
      </c>
    </row>
    <row r="9" spans="1:3" ht="15" customHeight="1" x14ac:dyDescent="0.25">
      <c r="A9" s="4">
        <v>8</v>
      </c>
      <c r="B9" s="5" t="s">
        <v>142</v>
      </c>
      <c r="C9" s="5" t="s">
        <v>143</v>
      </c>
    </row>
    <row r="10" spans="1:3" ht="15" customHeight="1" x14ac:dyDescent="0.25">
      <c r="A10" s="4">
        <v>9</v>
      </c>
      <c r="B10" s="5" t="s">
        <v>144</v>
      </c>
      <c r="C10" s="5" t="s">
        <v>145</v>
      </c>
    </row>
    <row r="11" spans="1:3" ht="15" customHeight="1" x14ac:dyDescent="0.25">
      <c r="A11" s="4">
        <v>10</v>
      </c>
      <c r="B11" s="5" t="s">
        <v>146</v>
      </c>
      <c r="C11" s="5" t="s">
        <v>147</v>
      </c>
    </row>
    <row r="12" spans="1:3" ht="15" customHeight="1" x14ac:dyDescent="0.25">
      <c r="A12" s="4">
        <v>11</v>
      </c>
      <c r="B12" s="5" t="s">
        <v>148</v>
      </c>
      <c r="C12" s="5" t="s">
        <v>149</v>
      </c>
    </row>
    <row r="13" spans="1:3" ht="15" customHeight="1" x14ac:dyDescent="0.25">
      <c r="A13" s="4">
        <v>12</v>
      </c>
      <c r="B13" s="5" t="s">
        <v>150</v>
      </c>
      <c r="C13" s="5" t="s">
        <v>151</v>
      </c>
    </row>
    <row r="14" spans="1:3" ht="15" customHeight="1" x14ac:dyDescent="0.25">
      <c r="A14" s="4">
        <v>13</v>
      </c>
      <c r="B14" s="5" t="s">
        <v>152</v>
      </c>
      <c r="C14" s="5" t="s">
        <v>153</v>
      </c>
    </row>
    <row r="15" spans="1:3" ht="15" customHeight="1" x14ac:dyDescent="0.25">
      <c r="A15" s="4">
        <v>14</v>
      </c>
      <c r="B15" s="5" t="s">
        <v>154</v>
      </c>
      <c r="C15" s="5" t="s">
        <v>155</v>
      </c>
    </row>
    <row r="16" spans="1:3" ht="15" customHeight="1" x14ac:dyDescent="0.25">
      <c r="A16" s="4">
        <v>15</v>
      </c>
      <c r="B16" s="5" t="s">
        <v>156</v>
      </c>
      <c r="C16" s="5" t="s">
        <v>157</v>
      </c>
    </row>
    <row r="17" spans="1:3" ht="15" customHeight="1" x14ac:dyDescent="0.25">
      <c r="A17" s="4">
        <v>16</v>
      </c>
      <c r="B17" s="5" t="s">
        <v>158</v>
      </c>
      <c r="C17" s="5" t="s">
        <v>159</v>
      </c>
    </row>
    <row r="18" spans="1:3" ht="15" customHeight="1" x14ac:dyDescent="0.25">
      <c r="A18" s="4">
        <v>17</v>
      </c>
      <c r="B18" s="5" t="s">
        <v>160</v>
      </c>
      <c r="C18" s="5" t="s">
        <v>161</v>
      </c>
    </row>
    <row r="19" spans="1:3" ht="15" customHeight="1" x14ac:dyDescent="0.25">
      <c r="A19" s="4">
        <v>18</v>
      </c>
      <c r="B19" s="5" t="s">
        <v>162</v>
      </c>
      <c r="C19" s="5" t="s">
        <v>163</v>
      </c>
    </row>
    <row r="20" spans="1:3" ht="15" customHeight="1" x14ac:dyDescent="0.25">
      <c r="A20" s="4">
        <v>19</v>
      </c>
      <c r="B20" s="5" t="s">
        <v>164</v>
      </c>
      <c r="C20" s="5" t="s">
        <v>165</v>
      </c>
    </row>
    <row r="21" spans="1:3" ht="15" customHeight="1" x14ac:dyDescent="0.25">
      <c r="A21" s="4">
        <v>20</v>
      </c>
      <c r="B21" s="5" t="s">
        <v>166</v>
      </c>
      <c r="C21" s="5" t="s">
        <v>167</v>
      </c>
    </row>
    <row r="22" spans="1:3" ht="15" customHeight="1" x14ac:dyDescent="0.25">
      <c r="A22" s="4">
        <v>21</v>
      </c>
      <c r="B22" s="5" t="s">
        <v>168</v>
      </c>
      <c r="C22" s="5" t="s">
        <v>169</v>
      </c>
    </row>
    <row r="23" spans="1:3" ht="15" customHeight="1" x14ac:dyDescent="0.25">
      <c r="A23" s="4">
        <v>22</v>
      </c>
      <c r="B23" s="5" t="s">
        <v>170</v>
      </c>
      <c r="C23" s="5" t="s">
        <v>171</v>
      </c>
    </row>
    <row r="24" spans="1:3" ht="15" customHeight="1" x14ac:dyDescent="0.25">
      <c r="A24" s="4">
        <v>23</v>
      </c>
      <c r="B24" s="5" t="s">
        <v>172</v>
      </c>
      <c r="C24" s="5" t="s">
        <v>172</v>
      </c>
    </row>
    <row r="25" spans="1:3" ht="15" customHeight="1" x14ac:dyDescent="0.25">
      <c r="A25" s="4">
        <v>24</v>
      </c>
      <c r="B25" s="5" t="s">
        <v>173</v>
      </c>
      <c r="C25" s="5" t="s">
        <v>174</v>
      </c>
    </row>
    <row r="26" spans="1:3" ht="15" customHeight="1" x14ac:dyDescent="0.25">
      <c r="A26" s="4">
        <v>26</v>
      </c>
      <c r="B26" s="5" t="s">
        <v>175</v>
      </c>
      <c r="C26" s="5" t="s">
        <v>176</v>
      </c>
    </row>
    <row r="27" spans="1:3" ht="15" customHeight="1" x14ac:dyDescent="0.25">
      <c r="A27" s="4">
        <v>27</v>
      </c>
      <c r="B27" s="5" t="s">
        <v>177</v>
      </c>
      <c r="C27" s="5" t="s">
        <v>178</v>
      </c>
    </row>
    <row r="28" spans="1:3" ht="15" customHeight="1" x14ac:dyDescent="0.25">
      <c r="A28" s="4">
        <v>28</v>
      </c>
      <c r="B28" s="5" t="s">
        <v>179</v>
      </c>
      <c r="C28" s="5" t="s">
        <v>180</v>
      </c>
    </row>
    <row r="29" spans="1:3" ht="15" customHeight="1" x14ac:dyDescent="0.25">
      <c r="A29" s="4">
        <v>29</v>
      </c>
      <c r="B29" s="5" t="s">
        <v>181</v>
      </c>
      <c r="C29" s="5" t="s">
        <v>182</v>
      </c>
    </row>
    <row r="30" spans="1:3" ht="15" customHeight="1" x14ac:dyDescent="0.25">
      <c r="A30" s="4">
        <v>30</v>
      </c>
      <c r="B30" s="5" t="s">
        <v>183</v>
      </c>
      <c r="C30" s="5" t="s">
        <v>184</v>
      </c>
    </row>
    <row r="31" spans="1:3" ht="15" customHeight="1" x14ac:dyDescent="0.25">
      <c r="A31" s="4">
        <v>31</v>
      </c>
      <c r="B31" s="5" t="s">
        <v>185</v>
      </c>
      <c r="C31" s="5" t="s">
        <v>186</v>
      </c>
    </row>
    <row r="32" spans="1:3" ht="15" customHeight="1" x14ac:dyDescent="0.25">
      <c r="A32" s="4">
        <v>32</v>
      </c>
      <c r="B32" s="5" t="s">
        <v>187</v>
      </c>
      <c r="C32" s="5" t="s">
        <v>188</v>
      </c>
    </row>
    <row r="33" spans="1:3" ht="18.75" customHeight="1" x14ac:dyDescent="0.25">
      <c r="A33" s="4">
        <v>33</v>
      </c>
      <c r="B33" s="5" t="s">
        <v>189</v>
      </c>
      <c r="C33" s="5" t="s">
        <v>190</v>
      </c>
    </row>
    <row r="34" spans="1:3" ht="18.75" customHeight="1" x14ac:dyDescent="0.25">
      <c r="A34" s="4">
        <v>34</v>
      </c>
      <c r="B34" s="5" t="s">
        <v>191</v>
      </c>
      <c r="C34" s="5" t="s">
        <v>192</v>
      </c>
    </row>
    <row r="35" spans="1:3" ht="18.75" customHeight="1" x14ac:dyDescent="0.25">
      <c r="A35" s="4">
        <v>35</v>
      </c>
      <c r="B35" s="5" t="s">
        <v>193</v>
      </c>
      <c r="C35" s="5" t="s">
        <v>194</v>
      </c>
    </row>
    <row r="36" spans="1:3" ht="18.75" customHeight="1" x14ac:dyDescent="0.25">
      <c r="A36" s="4">
        <v>36</v>
      </c>
      <c r="B36" s="5" t="s">
        <v>195</v>
      </c>
      <c r="C36" s="5" t="s">
        <v>196</v>
      </c>
    </row>
    <row r="37" spans="1:3" ht="18.75" customHeight="1" x14ac:dyDescent="0.25">
      <c r="A37" s="4">
        <v>37</v>
      </c>
      <c r="B37" s="5" t="s">
        <v>197</v>
      </c>
      <c r="C37" s="5" t="s">
        <v>198</v>
      </c>
    </row>
    <row r="38" spans="1:3" ht="18.75" customHeight="1" x14ac:dyDescent="0.25">
      <c r="A38" s="4">
        <v>38</v>
      </c>
      <c r="B38" s="5" t="s">
        <v>199</v>
      </c>
      <c r="C38" s="5" t="s">
        <v>200</v>
      </c>
    </row>
    <row r="39" spans="1:3" ht="18.75" customHeight="1" x14ac:dyDescent="0.25">
      <c r="A39" s="4">
        <v>39</v>
      </c>
      <c r="B39" s="5" t="s">
        <v>201</v>
      </c>
      <c r="C39" s="5" t="s">
        <v>202</v>
      </c>
    </row>
    <row r="40" spans="1:3" ht="18.75" customHeight="1" x14ac:dyDescent="0.25">
      <c r="A40" s="4">
        <v>40</v>
      </c>
      <c r="B40" s="5" t="s">
        <v>203</v>
      </c>
      <c r="C40" s="5" t="s">
        <v>204</v>
      </c>
    </row>
    <row r="41" spans="1:3" ht="18.75" customHeight="1" x14ac:dyDescent="0.25">
      <c r="A41" s="4">
        <v>41</v>
      </c>
      <c r="B41" s="5" t="s">
        <v>205</v>
      </c>
      <c r="C41" s="5" t="s">
        <v>206</v>
      </c>
    </row>
    <row r="42" spans="1:3" ht="18.75" customHeight="1" x14ac:dyDescent="0.25">
      <c r="A42" s="4">
        <v>42</v>
      </c>
      <c r="B42" s="5" t="s">
        <v>207</v>
      </c>
      <c r="C42" s="5" t="s">
        <v>208</v>
      </c>
    </row>
    <row r="43" spans="1:3" ht="18.75" customHeight="1" x14ac:dyDescent="0.25">
      <c r="A43" s="4">
        <v>43</v>
      </c>
      <c r="B43" s="5" t="s">
        <v>209</v>
      </c>
      <c r="C43" s="5" t="s">
        <v>210</v>
      </c>
    </row>
    <row r="44" spans="1:3" ht="18.75" customHeight="1" x14ac:dyDescent="0.25">
      <c r="A44" s="4">
        <v>45</v>
      </c>
      <c r="B44" s="5" t="s">
        <v>211</v>
      </c>
      <c r="C44" s="5" t="s">
        <v>212</v>
      </c>
    </row>
    <row r="45" spans="1:3" ht="18.75" customHeight="1" x14ac:dyDescent="0.25">
      <c r="A45" s="4">
        <v>46</v>
      </c>
      <c r="B45" s="5" t="s">
        <v>213</v>
      </c>
      <c r="C45" s="5" t="s">
        <v>214</v>
      </c>
    </row>
    <row r="46" spans="1:3" ht="18.75" customHeight="1" x14ac:dyDescent="0.25">
      <c r="A46" s="4">
        <v>47</v>
      </c>
      <c r="B46" s="5" t="s">
        <v>215</v>
      </c>
      <c r="C46" s="5" t="s">
        <v>194</v>
      </c>
    </row>
    <row r="47" spans="1:3" ht="18.75" customHeight="1" x14ac:dyDescent="0.25">
      <c r="A47" s="4">
        <v>48</v>
      </c>
      <c r="B47" s="5" t="s">
        <v>216</v>
      </c>
      <c r="C47" s="5" t="s">
        <v>217</v>
      </c>
    </row>
    <row r="48" spans="1:3" ht="18.75" customHeight="1" x14ac:dyDescent="0.25">
      <c r="A48" s="4">
        <v>49</v>
      </c>
      <c r="B48" s="5" t="s">
        <v>218</v>
      </c>
      <c r="C48" s="5" t="s">
        <v>219</v>
      </c>
    </row>
    <row r="49" spans="1:3" ht="18.75" customHeight="1" x14ac:dyDescent="0.25">
      <c r="A49" s="4">
        <v>50</v>
      </c>
      <c r="B49" s="5" t="s">
        <v>220</v>
      </c>
      <c r="C49" s="5" t="s">
        <v>221</v>
      </c>
    </row>
    <row r="50" spans="1:3" ht="18.75" customHeight="1" x14ac:dyDescent="0.25">
      <c r="A50" s="4">
        <v>51</v>
      </c>
      <c r="B50" s="5" t="s">
        <v>222</v>
      </c>
      <c r="C50" s="5" t="s">
        <v>223</v>
      </c>
    </row>
    <row r="51" spans="1:3" ht="18.75" customHeight="1" x14ac:dyDescent="0.25">
      <c r="A51" s="4">
        <v>52</v>
      </c>
      <c r="B51" s="5" t="s">
        <v>224</v>
      </c>
      <c r="C51" s="5" t="s">
        <v>225</v>
      </c>
    </row>
    <row r="52" spans="1:3" ht="18.75" customHeight="1" x14ac:dyDescent="0.25">
      <c r="A52" s="4">
        <v>53</v>
      </c>
      <c r="B52" s="5" t="s">
        <v>226</v>
      </c>
      <c r="C52" s="5" t="s">
        <v>227</v>
      </c>
    </row>
    <row r="53" spans="1:3" ht="18.75" customHeight="1" x14ac:dyDescent="0.25">
      <c r="A53" s="4">
        <v>54</v>
      </c>
      <c r="B53" s="5" t="s">
        <v>228</v>
      </c>
      <c r="C53" s="5" t="s">
        <v>229</v>
      </c>
    </row>
    <row r="54" spans="1:3" ht="18.75" customHeight="1" x14ac:dyDescent="0.25">
      <c r="A54" s="4">
        <v>55</v>
      </c>
      <c r="B54" s="5" t="s">
        <v>230</v>
      </c>
      <c r="C54" s="5" t="s">
        <v>231</v>
      </c>
    </row>
    <row r="55" spans="1:3" ht="18.75" customHeight="1" x14ac:dyDescent="0.25">
      <c r="A55" s="4">
        <v>56</v>
      </c>
      <c r="B55" s="5" t="s">
        <v>232</v>
      </c>
      <c r="C55" s="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B25"/>
  <sheetViews>
    <sheetView topLeftCell="A7" workbookViewId="0">
      <selection activeCell="M12" sqref="M12"/>
    </sheetView>
  </sheetViews>
  <sheetFormatPr defaultColWidth="9.28515625" defaultRowHeight="15" x14ac:dyDescent="0.25"/>
  <cols>
    <col min="1" max="1" width="3.28515625" style="6" bestFit="1" customWidth="1"/>
    <col min="2" max="2" width="31.5703125" bestFit="1" customWidth="1"/>
    <col min="3" max="3" width="34.42578125" bestFit="1" customWidth="1"/>
  </cols>
  <sheetData>
    <row r="1" spans="1:2" ht="15" customHeight="1" x14ac:dyDescent="0.25">
      <c r="A1" s="2" t="s">
        <v>80</v>
      </c>
      <c r="B1" s="3" t="s">
        <v>234</v>
      </c>
    </row>
    <row r="2" spans="1:2" ht="15" customHeight="1" x14ac:dyDescent="0.25">
      <c r="A2" s="4">
        <v>1</v>
      </c>
      <c r="B2" s="5" t="s">
        <v>235</v>
      </c>
    </row>
    <row r="3" spans="1:2" ht="15" customHeight="1" x14ac:dyDescent="0.25">
      <c r="A3" s="4">
        <v>2</v>
      </c>
      <c r="B3" s="5" t="s">
        <v>236</v>
      </c>
    </row>
    <row r="4" spans="1:2" ht="15" customHeight="1" x14ac:dyDescent="0.25">
      <c r="A4" s="4">
        <v>3</v>
      </c>
      <c r="B4" s="5" t="s">
        <v>237</v>
      </c>
    </row>
    <row r="5" spans="1:2" ht="15" customHeight="1" x14ac:dyDescent="0.25">
      <c r="A5" s="4">
        <v>4</v>
      </c>
      <c r="B5" s="5" t="s">
        <v>238</v>
      </c>
    </row>
    <row r="6" spans="1:2" ht="15" customHeight="1" x14ac:dyDescent="0.25">
      <c r="A6" s="4">
        <v>5</v>
      </c>
      <c r="B6" s="5" t="s">
        <v>239</v>
      </c>
    </row>
    <row r="7" spans="1:2" ht="15" customHeight="1" x14ac:dyDescent="0.25">
      <c r="A7" s="4">
        <v>6</v>
      </c>
      <c r="B7" s="5" t="s">
        <v>240</v>
      </c>
    </row>
    <row r="8" spans="1:2" ht="15" customHeight="1" x14ac:dyDescent="0.25">
      <c r="A8" s="4">
        <v>7</v>
      </c>
      <c r="B8" s="5" t="s">
        <v>241</v>
      </c>
    </row>
    <row r="9" spans="1:2" ht="15" customHeight="1" x14ac:dyDescent="0.25">
      <c r="A9" s="4">
        <v>8</v>
      </c>
      <c r="B9" s="5" t="s">
        <v>242</v>
      </c>
    </row>
    <row r="10" spans="1:2" ht="15" customHeight="1" x14ac:dyDescent="0.25">
      <c r="A10" s="4">
        <v>9</v>
      </c>
      <c r="B10" s="5" t="s">
        <v>243</v>
      </c>
    </row>
    <row r="11" spans="1:2" ht="15" customHeight="1" x14ac:dyDescent="0.25">
      <c r="A11" s="4">
        <v>10</v>
      </c>
      <c r="B11" s="5" t="s">
        <v>244</v>
      </c>
    </row>
    <row r="12" spans="1:2" ht="15" customHeight="1" x14ac:dyDescent="0.25">
      <c r="A12" s="4">
        <v>11</v>
      </c>
      <c r="B12" s="5" t="s">
        <v>245</v>
      </c>
    </row>
    <row r="13" spans="1:2" ht="15" customHeight="1" x14ac:dyDescent="0.25">
      <c r="A13" s="4">
        <v>12</v>
      </c>
      <c r="B13" s="5" t="s">
        <v>246</v>
      </c>
    </row>
    <row r="14" spans="1:2" ht="15" customHeight="1" x14ac:dyDescent="0.25">
      <c r="A14" s="4">
        <v>13</v>
      </c>
      <c r="B14" s="5" t="s">
        <v>247</v>
      </c>
    </row>
    <row r="15" spans="1:2" ht="15" customHeight="1" x14ac:dyDescent="0.25">
      <c r="A15" s="4">
        <v>14</v>
      </c>
      <c r="B15" s="5" t="s">
        <v>248</v>
      </c>
    </row>
    <row r="16" spans="1:2" ht="15" customHeight="1" x14ac:dyDescent="0.25">
      <c r="A16" s="4">
        <v>15</v>
      </c>
      <c r="B16" s="5" t="s">
        <v>249</v>
      </c>
    </row>
    <row r="17" spans="1:2" ht="15" customHeight="1" x14ac:dyDescent="0.25">
      <c r="A17" s="4">
        <v>16</v>
      </c>
      <c r="B17" s="5" t="s">
        <v>250</v>
      </c>
    </row>
    <row r="18" spans="1:2" ht="15" customHeight="1" x14ac:dyDescent="0.25">
      <c r="A18" s="4">
        <v>17</v>
      </c>
      <c r="B18" s="5" t="s">
        <v>251</v>
      </c>
    </row>
    <row r="19" spans="1:2" ht="15" customHeight="1" x14ac:dyDescent="0.25">
      <c r="A19" s="4">
        <v>18</v>
      </c>
      <c r="B19" s="5" t="s">
        <v>252</v>
      </c>
    </row>
    <row r="20" spans="1:2" ht="15" customHeight="1" x14ac:dyDescent="0.25">
      <c r="A20" s="4">
        <v>19</v>
      </c>
      <c r="B20" s="5" t="s">
        <v>253</v>
      </c>
    </row>
    <row r="21" spans="1:2" ht="15" customHeight="1" x14ac:dyDescent="0.25">
      <c r="A21" s="4">
        <v>20</v>
      </c>
      <c r="B21" s="5" t="s">
        <v>254</v>
      </c>
    </row>
    <row r="22" spans="1:2" ht="15" customHeight="1" x14ac:dyDescent="0.25">
      <c r="A22" s="4">
        <v>21</v>
      </c>
      <c r="B22" s="5" t="s">
        <v>255</v>
      </c>
    </row>
    <row r="23" spans="1:2" ht="15" customHeight="1" x14ac:dyDescent="0.25">
      <c r="A23" s="4">
        <v>22</v>
      </c>
      <c r="B23" s="5" t="s">
        <v>256</v>
      </c>
    </row>
    <row r="24" spans="1:2" ht="15" customHeight="1" x14ac:dyDescent="0.25">
      <c r="A24" s="4">
        <v>23</v>
      </c>
      <c r="B24" s="5" t="s">
        <v>257</v>
      </c>
    </row>
    <row r="25" spans="1:2" ht="15" customHeight="1" x14ac:dyDescent="0.25">
      <c r="A25" s="4">
        <v>24</v>
      </c>
      <c r="B25" s="5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B9"/>
  <sheetViews>
    <sheetView workbookViewId="0">
      <selection activeCell="A27" sqref="A27"/>
    </sheetView>
  </sheetViews>
  <sheetFormatPr defaultColWidth="9.28515625" defaultRowHeight="15" x14ac:dyDescent="0.25"/>
  <cols>
    <col min="1" max="1" width="4.85546875" style="1" bestFit="1" customWidth="1"/>
    <col min="2" max="2" width="21.140625" bestFit="1" customWidth="1"/>
  </cols>
  <sheetData>
    <row r="1" spans="1:2" ht="15" customHeight="1" x14ac:dyDescent="0.25">
      <c r="A1" s="2" t="s">
        <v>80</v>
      </c>
      <c r="B1" s="3" t="s">
        <v>259</v>
      </c>
    </row>
    <row r="2" spans="1:2" ht="15" customHeight="1" x14ac:dyDescent="0.25">
      <c r="A2" s="4">
        <v>1</v>
      </c>
      <c r="B2" s="5" t="s">
        <v>260</v>
      </c>
    </row>
    <row r="3" spans="1:2" ht="15" customHeight="1" x14ac:dyDescent="0.25">
      <c r="A3" s="4">
        <v>2</v>
      </c>
      <c r="B3" s="5" t="s">
        <v>261</v>
      </c>
    </row>
    <row r="4" spans="1:2" ht="15" customHeight="1" x14ac:dyDescent="0.25">
      <c r="A4" s="4">
        <v>3</v>
      </c>
      <c r="B4" s="5" t="s">
        <v>262</v>
      </c>
    </row>
    <row r="5" spans="1:2" ht="15" customHeight="1" x14ac:dyDescent="0.25">
      <c r="A5" s="4">
        <v>4</v>
      </c>
      <c r="B5" s="5" t="s">
        <v>263</v>
      </c>
    </row>
    <row r="6" spans="1:2" ht="15" customHeight="1" x14ac:dyDescent="0.25">
      <c r="A6" s="4">
        <v>5</v>
      </c>
      <c r="B6" s="5" t="s">
        <v>264</v>
      </c>
    </row>
    <row r="7" spans="1:2" ht="15" customHeight="1" x14ac:dyDescent="0.25">
      <c r="A7" s="4">
        <v>6</v>
      </c>
      <c r="B7" s="5" t="s">
        <v>265</v>
      </c>
    </row>
    <row r="8" spans="1:2" ht="15" customHeight="1" x14ac:dyDescent="0.25">
      <c r="A8" s="4">
        <v>7</v>
      </c>
      <c r="B8" s="5" t="s">
        <v>266</v>
      </c>
    </row>
    <row r="9" spans="1:2" ht="15" customHeight="1" x14ac:dyDescent="0.25">
      <c r="A9" s="4">
        <v>8</v>
      </c>
      <c r="B9" s="5" t="s">
        <v>267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/>
  </sheetPr>
  <dimension ref="A1:C10001"/>
  <sheetViews>
    <sheetView workbookViewId="0">
      <selection activeCell="B9" sqref="B9"/>
    </sheetView>
  </sheetViews>
  <sheetFormatPr defaultColWidth="9.28515625" defaultRowHeight="15" x14ac:dyDescent="0.25"/>
  <cols>
    <col min="1" max="1" width="55.42578125" style="1" customWidth="1"/>
    <col min="2" max="2" width="32.7109375" customWidth="1"/>
  </cols>
  <sheetData>
    <row r="1" spans="1:3" ht="18.75" customHeight="1" x14ac:dyDescent="0.25">
      <c r="A1" s="24" t="s">
        <v>268</v>
      </c>
      <c r="B1" s="25" t="s">
        <v>269</v>
      </c>
      <c r="C1" t="s">
        <v>269</v>
      </c>
    </row>
    <row r="2" spans="1:3" ht="18.75" customHeight="1" x14ac:dyDescent="0.25">
      <c r="A2" s="26" t="s">
        <v>274</v>
      </c>
      <c r="B2">
        <v>20160</v>
      </c>
      <c r="C2" t="str">
        <f>IF(A2&lt;&gt;"",LEFT(A2, FIND("-", A2) - 1),"")</f>
        <v>40193</v>
      </c>
    </row>
    <row r="3" spans="1:3" ht="18.75" customHeight="1" x14ac:dyDescent="0.25">
      <c r="A3" s="26"/>
      <c r="C3" t="str">
        <f>IF(A3&lt;&gt;"",LEFT(A3, FIND("-", A3) - 1),"")</f>
        <v/>
      </c>
    </row>
    <row r="4" spans="1:3" ht="18.75" customHeight="1" x14ac:dyDescent="0.25">
      <c r="A4" s="26"/>
      <c r="C4" t="str">
        <f t="shared" ref="C4:C66" si="0">IF(A4&lt;&gt;"",LEFT(A4, FIND("-", A4) - 1),"")</f>
        <v/>
      </c>
    </row>
    <row r="5" spans="1:3" ht="18.75" customHeight="1" x14ac:dyDescent="0.25">
      <c r="A5" s="26"/>
      <c r="C5" t="str">
        <f t="shared" si="0"/>
        <v/>
      </c>
    </row>
    <row r="6" spans="1:3" ht="18.75" customHeight="1" x14ac:dyDescent="0.25">
      <c r="A6" s="26"/>
      <c r="C6" t="str">
        <f t="shared" si="0"/>
        <v/>
      </c>
    </row>
    <row r="7" spans="1:3" ht="18.75" customHeight="1" x14ac:dyDescent="0.25">
      <c r="A7" s="26"/>
      <c r="C7" t="str">
        <f t="shared" si="0"/>
        <v/>
      </c>
    </row>
    <row r="8" spans="1:3" ht="18.75" customHeight="1" x14ac:dyDescent="0.25">
      <c r="A8" s="26"/>
      <c r="C8" t="str">
        <f t="shared" si="0"/>
        <v/>
      </c>
    </row>
    <row r="9" spans="1:3" ht="18.75" customHeight="1" x14ac:dyDescent="0.25">
      <c r="A9" s="26"/>
      <c r="C9" t="str">
        <f t="shared" si="0"/>
        <v/>
      </c>
    </row>
    <row r="10" spans="1:3" ht="18.75" customHeight="1" x14ac:dyDescent="0.25">
      <c r="A10" s="26"/>
      <c r="C10" t="str">
        <f t="shared" si="0"/>
        <v/>
      </c>
    </row>
    <row r="11" spans="1:3" ht="18.75" customHeight="1" x14ac:dyDescent="0.25">
      <c r="A11" s="26"/>
      <c r="C11" t="str">
        <f t="shared" si="0"/>
        <v/>
      </c>
    </row>
    <row r="12" spans="1:3" ht="18.75" customHeight="1" x14ac:dyDescent="0.25">
      <c r="A12" s="26"/>
      <c r="C12" t="str">
        <f t="shared" si="0"/>
        <v/>
      </c>
    </row>
    <row r="13" spans="1:3" x14ac:dyDescent="0.25">
      <c r="C13" t="str">
        <f t="shared" si="0"/>
        <v/>
      </c>
    </row>
    <row r="14" spans="1:3" x14ac:dyDescent="0.25">
      <c r="C14" t="str">
        <f t="shared" si="0"/>
        <v/>
      </c>
    </row>
    <row r="15" spans="1:3" x14ac:dyDescent="0.25">
      <c r="C15" t="str">
        <f t="shared" si="0"/>
        <v/>
      </c>
    </row>
    <row r="16" spans="1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30" si="1">IF(A67&lt;&gt;"",LEFT(A67, FIND("-", A67) - 1),"")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ref="C131:C194" si="2">IF(A131&lt;&gt;"",LEFT(A131, FIND("-", A131) - 1),"")</f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ref="C195:C258" si="3">IF(A195&lt;&gt;"",LEFT(A195, FIND("-", A195) - 1),"")</f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ref="C259:C322" si="4">IF(A259&lt;&gt;"",LEFT(A259, FIND("-", A259) - 1),"")</f>
        <v/>
      </c>
    </row>
    <row r="260" spans="3:3" x14ac:dyDescent="0.25">
      <c r="C260" t="str">
        <f t="shared" si="4"/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ref="C323:C386" si="5">IF(A323&lt;&gt;"",LEFT(A323, FIND("-", A323) - 1),"")</f>
        <v/>
      </c>
    </row>
    <row r="324" spans="3:3" x14ac:dyDescent="0.25">
      <c r="C324" t="str">
        <f t="shared" si="5"/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ref="C387:C450" si="6">IF(A387&lt;&gt;"",LEFT(A387, FIND("-", A387) - 1),"")</f>
        <v/>
      </c>
    </row>
    <row r="388" spans="3:3" x14ac:dyDescent="0.25">
      <c r="C388" t="str">
        <f t="shared" si="6"/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ref="C451:C514" si="7">IF(A451&lt;&gt;"",LEFT(A451, FIND("-", A451) - 1),"")</f>
        <v/>
      </c>
    </row>
    <row r="452" spans="3:3" x14ac:dyDescent="0.25">
      <c r="C452" t="str">
        <f t="shared" si="7"/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ref="C515:C578" si="8">IF(A515&lt;&gt;"",LEFT(A515, FIND("-", A515) - 1),"")</f>
        <v/>
      </c>
    </row>
    <row r="516" spans="3:3" x14ac:dyDescent="0.25">
      <c r="C516" t="str">
        <f t="shared" si="8"/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ref="C579:C642" si="9">IF(A579&lt;&gt;"",LEFT(A579, FIND("-", A579) - 1),"")</f>
        <v/>
      </c>
    </row>
    <row r="580" spans="3:3" x14ac:dyDescent="0.25">
      <c r="C580" t="str">
        <f t="shared" si="9"/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ref="C643:C706" si="10">IF(A643&lt;&gt;"",LEFT(A643, FIND("-", A643) - 1),"")</f>
        <v/>
      </c>
    </row>
    <row r="644" spans="3:3" x14ac:dyDescent="0.25">
      <c r="C644" t="str">
        <f t="shared" si="10"/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ref="C707:C770" si="11">IF(A707&lt;&gt;"",LEFT(A707, FIND("-", A707) - 1),"")</f>
        <v/>
      </c>
    </row>
    <row r="708" spans="3:3" x14ac:dyDescent="0.25">
      <c r="C708" t="str">
        <f t="shared" si="11"/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ref="C771:C834" si="12">IF(A771&lt;&gt;"",LEFT(A771, FIND("-", A771) - 1),"")</f>
        <v/>
      </c>
    </row>
    <row r="772" spans="3:3" x14ac:dyDescent="0.25">
      <c r="C772" t="str">
        <f t="shared" si="12"/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ref="C835:C898" si="13">IF(A835&lt;&gt;"",LEFT(A835, FIND("-", A835) - 1),"")</f>
        <v/>
      </c>
    </row>
    <row r="836" spans="3:3" x14ac:dyDescent="0.25">
      <c r="C836" t="str">
        <f t="shared" si="13"/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ref="C899:C962" si="14">IF(A899&lt;&gt;"",LEFT(A899, FIND("-", A899) - 1),"")</f>
        <v/>
      </c>
    </row>
    <row r="900" spans="3:3" x14ac:dyDescent="0.25">
      <c r="C900" t="str">
        <f t="shared" si="14"/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ref="C963:C1026" si="15">IF(A963&lt;&gt;"",LEFT(A963, FIND("-", A963) - 1),"")</f>
        <v/>
      </c>
    </row>
    <row r="964" spans="3:3" x14ac:dyDescent="0.25">
      <c r="C964" t="str">
        <f t="shared" si="15"/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ref="C1027:C1090" si="16">IF(A1027&lt;&gt;"",LEFT(A1027, FIND("-", A1027) - 1),"")</f>
        <v/>
      </c>
    </row>
    <row r="1028" spans="3:3" x14ac:dyDescent="0.25">
      <c r="C1028" t="str">
        <f t="shared" si="16"/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ref="C1091:C1154" si="17">IF(A1091&lt;&gt;"",LEFT(A1091, FIND("-", A1091) - 1),"")</f>
        <v/>
      </c>
    </row>
    <row r="1092" spans="3:3" x14ac:dyDescent="0.25">
      <c r="C1092" t="str">
        <f t="shared" si="17"/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ref="C1155:C1218" si="18">IF(A1155&lt;&gt;"",LEFT(A1155, FIND("-", A1155) - 1),"")</f>
        <v/>
      </c>
    </row>
    <row r="1156" spans="3:3" x14ac:dyDescent="0.25">
      <c r="C1156" t="str">
        <f t="shared" si="18"/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ref="C1219:C1282" si="19">IF(A1219&lt;&gt;"",LEFT(A1219, FIND("-", A1219) - 1),"")</f>
        <v/>
      </c>
    </row>
    <row r="1220" spans="3:3" x14ac:dyDescent="0.25">
      <c r="C1220" t="str">
        <f t="shared" si="19"/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ref="C1283:C1346" si="20">IF(A1283&lt;&gt;"",LEFT(A1283, FIND("-", A1283) - 1),"")</f>
        <v/>
      </c>
    </row>
    <row r="1284" spans="3:3" x14ac:dyDescent="0.25">
      <c r="C1284" t="str">
        <f t="shared" si="20"/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ref="C1347:C1410" si="21">IF(A1347&lt;&gt;"",LEFT(A1347, FIND("-", A1347) - 1),"")</f>
        <v/>
      </c>
    </row>
    <row r="1348" spans="3:3" x14ac:dyDescent="0.25">
      <c r="C1348" t="str">
        <f t="shared" si="21"/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ref="C1411:C1474" si="22">IF(A1411&lt;&gt;"",LEFT(A1411, FIND("-", A1411) - 1),"")</f>
        <v/>
      </c>
    </row>
    <row r="1412" spans="3:3" x14ac:dyDescent="0.25">
      <c r="C1412" t="str">
        <f t="shared" si="22"/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ref="C1475:C1538" si="23">IF(A1475&lt;&gt;"",LEFT(A1475, FIND("-", A1475) - 1),"")</f>
        <v/>
      </c>
    </row>
    <row r="1476" spans="3:3" x14ac:dyDescent="0.25">
      <c r="C1476" t="str">
        <f t="shared" si="23"/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ref="C1539:C1602" si="24">IF(A1539&lt;&gt;"",LEFT(A1539, FIND("-", A1539) - 1),"")</f>
        <v/>
      </c>
    </row>
    <row r="1540" spans="3:3" x14ac:dyDescent="0.25">
      <c r="C1540" t="str">
        <f t="shared" si="24"/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ref="C1603:C1666" si="25">IF(A1603&lt;&gt;"",LEFT(A1603, FIND("-", A1603) - 1),"")</f>
        <v/>
      </c>
    </row>
    <row r="1604" spans="3:3" x14ac:dyDescent="0.25">
      <c r="C1604" t="str">
        <f t="shared" si="25"/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ref="C1667:C1730" si="26">IF(A1667&lt;&gt;"",LEFT(A1667, FIND("-", A1667) - 1),"")</f>
        <v/>
      </c>
    </row>
    <row r="1668" spans="3:3" x14ac:dyDescent="0.25">
      <c r="C1668" t="str">
        <f t="shared" si="26"/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ref="C1731:C1794" si="27">IF(A1731&lt;&gt;"",LEFT(A1731, FIND("-", A1731) - 1),"")</f>
        <v/>
      </c>
    </row>
    <row r="1732" spans="3:3" x14ac:dyDescent="0.25">
      <c r="C1732" t="str">
        <f t="shared" si="27"/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ref="C1795:C1858" si="28">IF(A1795&lt;&gt;"",LEFT(A1795, FIND("-", A1795) - 1),"")</f>
        <v/>
      </c>
    </row>
    <row r="1796" spans="3:3" x14ac:dyDescent="0.25">
      <c r="C1796" t="str">
        <f t="shared" si="28"/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ref="C1859:C1922" si="29">IF(A1859&lt;&gt;"",LEFT(A1859, FIND("-", A1859) - 1),"")</f>
        <v/>
      </c>
    </row>
    <row r="1860" spans="3:3" x14ac:dyDescent="0.25">
      <c r="C1860" t="str">
        <f t="shared" si="29"/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ref="C1923:C1986" si="30">IF(A1923&lt;&gt;"",LEFT(A1923, FIND("-", A1923) - 1),"")</f>
        <v/>
      </c>
    </row>
    <row r="1924" spans="3:3" x14ac:dyDescent="0.25">
      <c r="C1924" t="str">
        <f t="shared" si="30"/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ref="C1987:C2050" si="31">IF(A1987&lt;&gt;"",LEFT(A1987, FIND("-", A1987) - 1),"")</f>
        <v/>
      </c>
    </row>
    <row r="1988" spans="3:3" x14ac:dyDescent="0.25">
      <c r="C1988" t="str">
        <f t="shared" si="31"/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ref="C2051:C2114" si="32">IF(A2051&lt;&gt;"",LEFT(A2051, FIND("-", A2051) - 1),"")</f>
        <v/>
      </c>
    </row>
    <row r="2052" spans="3:3" x14ac:dyDescent="0.25">
      <c r="C2052" t="str">
        <f t="shared" si="32"/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ref="C2115:C2178" si="33">IF(A2115&lt;&gt;"",LEFT(A2115, FIND("-", A2115) - 1),"")</f>
        <v/>
      </c>
    </row>
    <row r="2116" spans="3:3" x14ac:dyDescent="0.25">
      <c r="C2116" t="str">
        <f t="shared" si="33"/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ref="C2179:C2242" si="34">IF(A2179&lt;&gt;"",LEFT(A2179, FIND("-", A2179) - 1),"")</f>
        <v/>
      </c>
    </row>
    <row r="2180" spans="3:3" x14ac:dyDescent="0.25">
      <c r="C2180" t="str">
        <f t="shared" si="34"/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ref="C2243:C2306" si="35">IF(A2243&lt;&gt;"",LEFT(A2243, FIND("-", A2243) - 1),"")</f>
        <v/>
      </c>
    </row>
    <row r="2244" spans="3:3" x14ac:dyDescent="0.25">
      <c r="C2244" t="str">
        <f t="shared" si="35"/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ref="C2307:C2370" si="36">IF(A2307&lt;&gt;"",LEFT(A2307, FIND("-", A2307) - 1),"")</f>
        <v/>
      </c>
    </row>
    <row r="2308" spans="3:3" x14ac:dyDescent="0.25">
      <c r="C2308" t="str">
        <f t="shared" si="36"/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ref="C2371:C2434" si="37">IF(A2371&lt;&gt;"",LEFT(A2371, FIND("-", A2371) - 1),"")</f>
        <v/>
      </c>
    </row>
    <row r="2372" spans="3:3" x14ac:dyDescent="0.25">
      <c r="C2372" t="str">
        <f t="shared" si="37"/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ref="C2435:C2498" si="38">IF(A2435&lt;&gt;"",LEFT(A2435, FIND("-", A2435) - 1),"")</f>
        <v/>
      </c>
    </row>
    <row r="2436" spans="3:3" x14ac:dyDescent="0.25">
      <c r="C2436" t="str">
        <f t="shared" si="38"/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ref="C2499:C2562" si="39">IF(A2499&lt;&gt;"",LEFT(A2499, FIND("-", A2499) - 1),"")</f>
        <v/>
      </c>
    </row>
    <row r="2500" spans="3:3" x14ac:dyDescent="0.25">
      <c r="C2500" t="str">
        <f t="shared" si="39"/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ref="C2563:C2626" si="40">IF(A2563&lt;&gt;"",LEFT(A2563, FIND("-", A2563) - 1),"")</f>
        <v/>
      </c>
    </row>
    <row r="2564" spans="3:3" x14ac:dyDescent="0.25">
      <c r="C2564" t="str">
        <f t="shared" si="40"/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ref="C2627:C2690" si="41">IF(A2627&lt;&gt;"",LEFT(A2627, FIND("-", A2627) - 1),"")</f>
        <v/>
      </c>
    </row>
    <row r="2628" spans="3:3" x14ac:dyDescent="0.25">
      <c r="C2628" t="str">
        <f t="shared" si="41"/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ref="C2691:C2754" si="42">IF(A2691&lt;&gt;"",LEFT(A2691, FIND("-", A2691) - 1),"")</f>
        <v/>
      </c>
    </row>
    <row r="2692" spans="3:3" x14ac:dyDescent="0.25">
      <c r="C2692" t="str">
        <f t="shared" si="42"/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ref="C2755:C2818" si="43">IF(A2755&lt;&gt;"",LEFT(A2755, FIND("-", A2755) - 1),"")</f>
        <v/>
      </c>
    </row>
    <row r="2756" spans="3:3" x14ac:dyDescent="0.25">
      <c r="C2756" t="str">
        <f t="shared" si="43"/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ref="C2819:C2882" si="44">IF(A2819&lt;&gt;"",LEFT(A2819, FIND("-", A2819) - 1),"")</f>
        <v/>
      </c>
    </row>
    <row r="2820" spans="3:3" x14ac:dyDescent="0.25">
      <c r="C2820" t="str">
        <f t="shared" si="44"/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ref="C2883:C2946" si="45">IF(A2883&lt;&gt;"",LEFT(A2883, FIND("-", A2883) - 1),"")</f>
        <v/>
      </c>
    </row>
    <row r="2884" spans="3:3" x14ac:dyDescent="0.25">
      <c r="C2884" t="str">
        <f t="shared" si="45"/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ref="C2947:C3010" si="46">IF(A2947&lt;&gt;"",LEFT(A2947, FIND("-", A2947) - 1),"")</f>
        <v/>
      </c>
    </row>
    <row r="2948" spans="3:3" x14ac:dyDescent="0.25">
      <c r="C2948" t="str">
        <f t="shared" si="46"/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ref="C3011:C3074" si="47">IF(A3011&lt;&gt;"",LEFT(A3011, FIND("-", A3011) - 1),"")</f>
        <v/>
      </c>
    </row>
    <row r="3012" spans="3:3" x14ac:dyDescent="0.25">
      <c r="C3012" t="str">
        <f t="shared" si="47"/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ref="C3075:C3138" si="48">IF(A3075&lt;&gt;"",LEFT(A3075, FIND("-", A3075) - 1),"")</f>
        <v/>
      </c>
    </row>
    <row r="3076" spans="3:3" x14ac:dyDescent="0.25">
      <c r="C3076" t="str">
        <f t="shared" si="48"/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ref="C3139:C3202" si="49">IF(A3139&lt;&gt;"",LEFT(A3139, FIND("-", A3139) - 1),"")</f>
        <v/>
      </c>
    </row>
    <row r="3140" spans="3:3" x14ac:dyDescent="0.25">
      <c r="C3140" t="str">
        <f t="shared" si="49"/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ref="C3203:C3266" si="50">IF(A3203&lt;&gt;"",LEFT(A3203, FIND("-", A3203) - 1),"")</f>
        <v/>
      </c>
    </row>
    <row r="3204" spans="3:3" x14ac:dyDescent="0.25">
      <c r="C3204" t="str">
        <f t="shared" si="50"/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ref="C3267:C3330" si="51">IF(A3267&lt;&gt;"",LEFT(A3267, FIND("-", A3267) - 1),"")</f>
        <v/>
      </c>
    </row>
    <row r="3268" spans="3:3" x14ac:dyDescent="0.25">
      <c r="C3268" t="str">
        <f t="shared" si="51"/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ref="C3331:C3394" si="52">IF(A3331&lt;&gt;"",LEFT(A3331, FIND("-", A3331) - 1),"")</f>
        <v/>
      </c>
    </row>
    <row r="3332" spans="3:3" x14ac:dyDescent="0.25">
      <c r="C3332" t="str">
        <f t="shared" si="52"/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ref="C3395:C3458" si="53">IF(A3395&lt;&gt;"",LEFT(A3395, FIND("-", A3395) - 1),"")</f>
        <v/>
      </c>
    </row>
    <row r="3396" spans="3:3" x14ac:dyDescent="0.25">
      <c r="C3396" t="str">
        <f t="shared" si="53"/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ref="C3459:C3522" si="54">IF(A3459&lt;&gt;"",LEFT(A3459, FIND("-", A3459) - 1),"")</f>
        <v/>
      </c>
    </row>
    <row r="3460" spans="3:3" x14ac:dyDescent="0.25">
      <c r="C3460" t="str">
        <f t="shared" si="54"/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ref="C3523:C3586" si="55">IF(A3523&lt;&gt;"",LEFT(A3523, FIND("-", A3523) - 1),"")</f>
        <v/>
      </c>
    </row>
    <row r="3524" spans="3:3" x14ac:dyDescent="0.25">
      <c r="C3524" t="str">
        <f t="shared" si="55"/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ref="C3587:C3650" si="56">IF(A3587&lt;&gt;"",LEFT(A3587, FIND("-", A3587) - 1),"")</f>
        <v/>
      </c>
    </row>
    <row r="3588" spans="3:3" x14ac:dyDescent="0.25">
      <c r="C3588" t="str">
        <f t="shared" si="56"/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ref="C3651:C3714" si="57">IF(A3651&lt;&gt;"",LEFT(A3651, FIND("-", A3651) - 1),"")</f>
        <v/>
      </c>
    </row>
    <row r="3652" spans="3:3" x14ac:dyDescent="0.25">
      <c r="C3652" t="str">
        <f t="shared" si="57"/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ref="C3715:C3778" si="58">IF(A3715&lt;&gt;"",LEFT(A3715, FIND("-", A3715) - 1),"")</f>
        <v/>
      </c>
    </row>
    <row r="3716" spans="3:3" x14ac:dyDescent="0.25">
      <c r="C3716" t="str">
        <f t="shared" si="58"/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ref="C3779:C3842" si="59">IF(A3779&lt;&gt;"",LEFT(A3779, FIND("-", A3779) - 1),"")</f>
        <v/>
      </c>
    </row>
    <row r="3780" spans="3:3" x14ac:dyDescent="0.25">
      <c r="C3780" t="str">
        <f t="shared" si="59"/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ref="C3843:C3906" si="60">IF(A3843&lt;&gt;"",LEFT(A3843, FIND("-", A3843) - 1),"")</f>
        <v/>
      </c>
    </row>
    <row r="3844" spans="3:3" x14ac:dyDescent="0.25">
      <c r="C3844" t="str">
        <f t="shared" si="60"/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ref="C3907:C3970" si="61">IF(A3907&lt;&gt;"",LEFT(A3907, FIND("-", A3907) - 1),"")</f>
        <v/>
      </c>
    </row>
    <row r="3908" spans="3:3" x14ac:dyDescent="0.25">
      <c r="C3908" t="str">
        <f t="shared" si="61"/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ref="C3971:C4034" si="62">IF(A3971&lt;&gt;"",LEFT(A3971, FIND("-", A3971) - 1),"")</f>
        <v/>
      </c>
    </row>
    <row r="3972" spans="3:3" x14ac:dyDescent="0.25">
      <c r="C3972" t="str">
        <f t="shared" si="62"/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ref="C4035:C4098" si="63">IF(A4035&lt;&gt;"",LEFT(A4035, FIND("-", A4035) - 1),"")</f>
        <v/>
      </c>
    </row>
    <row r="4036" spans="3:3" x14ac:dyDescent="0.25">
      <c r="C4036" t="str">
        <f t="shared" si="63"/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ref="C4099:C4162" si="64">IF(A4099&lt;&gt;"",LEFT(A4099, FIND("-", A4099) - 1),"")</f>
        <v/>
      </c>
    </row>
    <row r="4100" spans="3:3" x14ac:dyDescent="0.25">
      <c r="C4100" t="str">
        <f t="shared" si="64"/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ref="C4163:C4226" si="65">IF(A4163&lt;&gt;"",LEFT(A4163, FIND("-", A4163) - 1),"")</f>
        <v/>
      </c>
    </row>
    <row r="4164" spans="3:3" x14ac:dyDescent="0.25">
      <c r="C4164" t="str">
        <f t="shared" si="65"/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ref="C4227:C4290" si="66">IF(A4227&lt;&gt;"",LEFT(A4227, FIND("-", A4227) - 1),"")</f>
        <v/>
      </c>
    </row>
    <row r="4228" spans="3:3" x14ac:dyDescent="0.25">
      <c r="C4228" t="str">
        <f t="shared" si="66"/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ref="C4291:C4354" si="67">IF(A4291&lt;&gt;"",LEFT(A4291, FIND("-", A4291) - 1),"")</f>
        <v/>
      </c>
    </row>
    <row r="4292" spans="3:3" x14ac:dyDescent="0.25">
      <c r="C4292" t="str">
        <f t="shared" si="67"/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ref="C4355:C4418" si="68">IF(A4355&lt;&gt;"",LEFT(A4355, FIND("-", A4355) - 1),"")</f>
        <v/>
      </c>
    </row>
    <row r="4356" spans="3:3" x14ac:dyDescent="0.25">
      <c r="C4356" t="str">
        <f t="shared" si="68"/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ref="C4419:C4482" si="69">IF(A4419&lt;&gt;"",LEFT(A4419, FIND("-", A4419) - 1),"")</f>
        <v/>
      </c>
    </row>
    <row r="4420" spans="3:3" x14ac:dyDescent="0.25">
      <c r="C4420" t="str">
        <f t="shared" si="69"/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ref="C4483:C4546" si="70">IF(A4483&lt;&gt;"",LEFT(A4483, FIND("-", A4483) - 1),"")</f>
        <v/>
      </c>
    </row>
    <row r="4484" spans="3:3" x14ac:dyDescent="0.25">
      <c r="C4484" t="str">
        <f t="shared" si="70"/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ref="C4547:C4610" si="71">IF(A4547&lt;&gt;"",LEFT(A4547, FIND("-", A4547) - 1),"")</f>
        <v/>
      </c>
    </row>
    <row r="4548" spans="3:3" x14ac:dyDescent="0.25">
      <c r="C4548" t="str">
        <f t="shared" si="71"/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ref="C4611:C4674" si="72">IF(A4611&lt;&gt;"",LEFT(A4611, FIND("-", A4611) - 1),"")</f>
        <v/>
      </c>
    </row>
    <row r="4612" spans="3:3" x14ac:dyDescent="0.25">
      <c r="C4612" t="str">
        <f t="shared" si="72"/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ref="C4675:C4738" si="73">IF(A4675&lt;&gt;"",LEFT(A4675, FIND("-", A4675) - 1),"")</f>
        <v/>
      </c>
    </row>
    <row r="4676" spans="3:3" x14ac:dyDescent="0.25">
      <c r="C4676" t="str">
        <f t="shared" si="73"/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ref="C4739:C4802" si="74">IF(A4739&lt;&gt;"",LEFT(A4739, FIND("-", A4739) - 1),"")</f>
        <v/>
      </c>
    </row>
    <row r="4740" spans="3:3" x14ac:dyDescent="0.25">
      <c r="C4740" t="str">
        <f t="shared" si="74"/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ref="C4803:C4866" si="75">IF(A4803&lt;&gt;"",LEFT(A4803, FIND("-", A4803) - 1),"")</f>
        <v/>
      </c>
    </row>
    <row r="4804" spans="3:3" x14ac:dyDescent="0.25">
      <c r="C4804" t="str">
        <f t="shared" si="75"/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ref="C4867:C4930" si="76">IF(A4867&lt;&gt;"",LEFT(A4867, FIND("-", A4867) - 1),"")</f>
        <v/>
      </c>
    </row>
    <row r="4868" spans="3:3" x14ac:dyDescent="0.25">
      <c r="C4868" t="str">
        <f t="shared" si="76"/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ref="C4931:C4994" si="77">IF(A4931&lt;&gt;"",LEFT(A4931, FIND("-", A4931) - 1),"")</f>
        <v/>
      </c>
    </row>
    <row r="4932" spans="3:3" x14ac:dyDescent="0.25">
      <c r="C4932" t="str">
        <f t="shared" si="77"/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ref="C4995:C5058" si="78">IF(A4995&lt;&gt;"",LEFT(A4995, FIND("-", A4995) - 1),"")</f>
        <v/>
      </c>
    </row>
    <row r="4996" spans="3:3" x14ac:dyDescent="0.25">
      <c r="C4996" t="str">
        <f t="shared" si="78"/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ref="C5059:C5122" si="79">IF(A5059&lt;&gt;"",LEFT(A5059, FIND("-", A5059) - 1),"")</f>
        <v/>
      </c>
    </row>
    <row r="5060" spans="3:3" x14ac:dyDescent="0.25">
      <c r="C5060" t="str">
        <f t="shared" si="79"/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ref="C5123:C5186" si="80">IF(A5123&lt;&gt;"",LEFT(A5123, FIND("-", A5123) - 1),"")</f>
        <v/>
      </c>
    </row>
    <row r="5124" spans="3:3" x14ac:dyDescent="0.25">
      <c r="C5124" t="str">
        <f t="shared" si="80"/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ref="C5187:C5250" si="81">IF(A5187&lt;&gt;"",LEFT(A5187, FIND("-", A5187) - 1),"")</f>
        <v/>
      </c>
    </row>
    <row r="5188" spans="3:3" x14ac:dyDescent="0.25">
      <c r="C5188" t="str">
        <f t="shared" si="81"/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ref="C5251:C5314" si="82">IF(A5251&lt;&gt;"",LEFT(A5251, FIND("-", A5251) - 1),"")</f>
        <v/>
      </c>
    </row>
    <row r="5252" spans="3:3" x14ac:dyDescent="0.25">
      <c r="C5252" t="str">
        <f t="shared" si="82"/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ref="C5315:C5378" si="83">IF(A5315&lt;&gt;"",LEFT(A5315, FIND("-", A5315) - 1),"")</f>
        <v/>
      </c>
    </row>
    <row r="5316" spans="3:3" x14ac:dyDescent="0.25">
      <c r="C5316" t="str">
        <f t="shared" si="83"/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ref="C5379:C5442" si="84">IF(A5379&lt;&gt;"",LEFT(A5379, FIND("-", A5379) - 1),"")</f>
        <v/>
      </c>
    </row>
    <row r="5380" spans="3:3" x14ac:dyDescent="0.25">
      <c r="C5380" t="str">
        <f t="shared" si="84"/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ref="C5443:C5506" si="85">IF(A5443&lt;&gt;"",LEFT(A5443, FIND("-", A5443) - 1),"")</f>
        <v/>
      </c>
    </row>
    <row r="5444" spans="3:3" x14ac:dyDescent="0.25">
      <c r="C5444" t="str">
        <f t="shared" si="85"/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ref="C5507:C5570" si="86">IF(A5507&lt;&gt;"",LEFT(A5507, FIND("-", A5507) - 1),"")</f>
        <v/>
      </c>
    </row>
    <row r="5508" spans="3:3" x14ac:dyDescent="0.25">
      <c r="C5508" t="str">
        <f t="shared" si="86"/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ref="C5571:C5634" si="87">IF(A5571&lt;&gt;"",LEFT(A5571, FIND("-", A5571) - 1),"")</f>
        <v/>
      </c>
    </row>
    <row r="5572" spans="3:3" x14ac:dyDescent="0.25">
      <c r="C5572" t="str">
        <f t="shared" si="87"/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ref="C5635:C5698" si="88">IF(A5635&lt;&gt;"",LEFT(A5635, FIND("-", A5635) - 1),"")</f>
        <v/>
      </c>
    </row>
    <row r="5636" spans="3:3" x14ac:dyDescent="0.25">
      <c r="C5636" t="str">
        <f t="shared" si="88"/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ref="C5699:C5762" si="89">IF(A5699&lt;&gt;"",LEFT(A5699, FIND("-", A5699) - 1),"")</f>
        <v/>
      </c>
    </row>
    <row r="5700" spans="3:3" x14ac:dyDescent="0.25">
      <c r="C5700" t="str">
        <f t="shared" si="89"/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ref="C5763:C5826" si="90">IF(A5763&lt;&gt;"",LEFT(A5763, FIND("-", A5763) - 1),"")</f>
        <v/>
      </c>
    </row>
    <row r="5764" spans="3:3" x14ac:dyDescent="0.25">
      <c r="C5764" t="str">
        <f t="shared" si="90"/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ref="C5827:C5890" si="91">IF(A5827&lt;&gt;"",LEFT(A5827, FIND("-", A5827) - 1),"")</f>
        <v/>
      </c>
    </row>
    <row r="5828" spans="3:3" x14ac:dyDescent="0.25">
      <c r="C5828" t="str">
        <f t="shared" si="91"/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ref="C5891:C5954" si="92">IF(A5891&lt;&gt;"",LEFT(A5891, FIND("-", A5891) - 1),"")</f>
        <v/>
      </c>
    </row>
    <row r="5892" spans="3:3" x14ac:dyDescent="0.25">
      <c r="C5892" t="str">
        <f t="shared" si="92"/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ref="C5955:C6018" si="93">IF(A5955&lt;&gt;"",LEFT(A5955, FIND("-", A5955) - 1),"")</f>
        <v/>
      </c>
    </row>
    <row r="5956" spans="3:3" x14ac:dyDescent="0.25">
      <c r="C5956" t="str">
        <f t="shared" si="93"/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ref="C6019:C6082" si="94">IF(A6019&lt;&gt;"",LEFT(A6019, FIND("-", A6019) - 1),"")</f>
        <v/>
      </c>
    </row>
    <row r="6020" spans="3:3" x14ac:dyDescent="0.25">
      <c r="C6020" t="str">
        <f t="shared" si="94"/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ref="C6083:C6146" si="95">IF(A6083&lt;&gt;"",LEFT(A6083, FIND("-", A6083) - 1),"")</f>
        <v/>
      </c>
    </row>
    <row r="6084" spans="3:3" x14ac:dyDescent="0.25">
      <c r="C6084" t="str">
        <f t="shared" si="95"/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ref="C6147:C6210" si="96">IF(A6147&lt;&gt;"",LEFT(A6147, FIND("-", A6147) - 1),"")</f>
        <v/>
      </c>
    </row>
    <row r="6148" spans="3:3" x14ac:dyDescent="0.25">
      <c r="C6148" t="str">
        <f t="shared" si="96"/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ref="C6211:C6274" si="97">IF(A6211&lt;&gt;"",LEFT(A6211, FIND("-", A6211) - 1),"")</f>
        <v/>
      </c>
    </row>
    <row r="6212" spans="3:3" x14ac:dyDescent="0.25">
      <c r="C6212" t="str">
        <f t="shared" si="97"/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ref="C6275:C6338" si="98">IF(A6275&lt;&gt;"",LEFT(A6275, FIND("-", A6275) - 1),"")</f>
        <v/>
      </c>
    </row>
    <row r="6276" spans="3:3" x14ac:dyDescent="0.25">
      <c r="C6276" t="str">
        <f t="shared" si="98"/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ref="C6339:C6402" si="99">IF(A6339&lt;&gt;"",LEFT(A6339, FIND("-", A6339) - 1),"")</f>
        <v/>
      </c>
    </row>
    <row r="6340" spans="3:3" x14ac:dyDescent="0.25">
      <c r="C6340" t="str">
        <f t="shared" si="99"/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ref="C6403:C6466" si="100">IF(A6403&lt;&gt;"",LEFT(A6403, FIND("-", A6403) - 1),"")</f>
        <v/>
      </c>
    </row>
    <row r="6404" spans="3:3" x14ac:dyDescent="0.25">
      <c r="C6404" t="str">
        <f t="shared" si="100"/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ref="C6467:C6530" si="101">IF(A6467&lt;&gt;"",LEFT(A6467, FIND("-", A6467) - 1),"")</f>
        <v/>
      </c>
    </row>
    <row r="6468" spans="3:3" x14ac:dyDescent="0.25">
      <c r="C6468" t="str">
        <f t="shared" si="101"/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ref="C6531:C6594" si="102">IF(A6531&lt;&gt;"",LEFT(A6531, FIND("-", A6531) - 1),"")</f>
        <v/>
      </c>
    </row>
    <row r="6532" spans="3:3" x14ac:dyDescent="0.25">
      <c r="C6532" t="str">
        <f t="shared" si="102"/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ref="C6595:C6658" si="103">IF(A6595&lt;&gt;"",LEFT(A6595, FIND("-", A6595) - 1),"")</f>
        <v/>
      </c>
    </row>
    <row r="6596" spans="3:3" x14ac:dyDescent="0.25">
      <c r="C6596" t="str">
        <f t="shared" si="103"/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ref="C6659:C6722" si="104">IF(A6659&lt;&gt;"",LEFT(A6659, FIND("-", A6659) - 1),"")</f>
        <v/>
      </c>
    </row>
    <row r="6660" spans="3:3" x14ac:dyDescent="0.25">
      <c r="C6660" t="str">
        <f t="shared" si="104"/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ref="C6723:C6786" si="105">IF(A6723&lt;&gt;"",LEFT(A6723, FIND("-", A6723) - 1),"")</f>
        <v/>
      </c>
    </row>
    <row r="6724" spans="3:3" x14ac:dyDescent="0.25">
      <c r="C6724" t="str">
        <f t="shared" si="105"/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ref="C6787:C6850" si="106">IF(A6787&lt;&gt;"",LEFT(A6787, FIND("-", A6787) - 1),"")</f>
        <v/>
      </c>
    </row>
    <row r="6788" spans="3:3" x14ac:dyDescent="0.25">
      <c r="C6788" t="str">
        <f t="shared" si="106"/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ref="C6851:C6914" si="107">IF(A6851&lt;&gt;"",LEFT(A6851, FIND("-", A6851) - 1),"")</f>
        <v/>
      </c>
    </row>
    <row r="6852" spans="3:3" x14ac:dyDescent="0.25">
      <c r="C6852" t="str">
        <f t="shared" si="107"/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ref="C6915:C6978" si="108">IF(A6915&lt;&gt;"",LEFT(A6915, FIND("-", A6915) - 1),"")</f>
        <v/>
      </c>
    </row>
    <row r="6916" spans="3:3" x14ac:dyDescent="0.25">
      <c r="C6916" t="str">
        <f t="shared" si="108"/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ref="C6979:C7042" si="109">IF(A6979&lt;&gt;"",LEFT(A6979, FIND("-", A6979) - 1),"")</f>
        <v/>
      </c>
    </row>
    <row r="6980" spans="3:3" x14ac:dyDescent="0.25">
      <c r="C6980" t="str">
        <f t="shared" si="109"/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ref="C7043:C7106" si="110">IF(A7043&lt;&gt;"",LEFT(A7043, FIND("-", A7043) - 1),"")</f>
        <v/>
      </c>
    </row>
    <row r="7044" spans="3:3" x14ac:dyDescent="0.25">
      <c r="C7044" t="str">
        <f t="shared" si="110"/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ref="C7107:C7170" si="111">IF(A7107&lt;&gt;"",LEFT(A7107, FIND("-", A7107) - 1),"")</f>
        <v/>
      </c>
    </row>
    <row r="7108" spans="3:3" x14ac:dyDescent="0.25">
      <c r="C7108" t="str">
        <f t="shared" si="111"/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ref="C7171:C7234" si="112">IF(A7171&lt;&gt;"",LEFT(A7171, FIND("-", A7171) - 1),"")</f>
        <v/>
      </c>
    </row>
    <row r="7172" spans="3:3" x14ac:dyDescent="0.25">
      <c r="C7172" t="str">
        <f t="shared" si="112"/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ref="C7235:C7298" si="113">IF(A7235&lt;&gt;"",LEFT(A7235, FIND("-", A7235) - 1),"")</f>
        <v/>
      </c>
    </row>
    <row r="7236" spans="3:3" x14ac:dyDescent="0.25">
      <c r="C7236" t="str">
        <f t="shared" si="113"/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ref="C7299:C7362" si="114">IF(A7299&lt;&gt;"",LEFT(A7299, FIND("-", A7299) - 1),"")</f>
        <v/>
      </c>
    </row>
    <row r="7300" spans="3:3" x14ac:dyDescent="0.25">
      <c r="C7300" t="str">
        <f t="shared" si="114"/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ref="C7363:C7426" si="115">IF(A7363&lt;&gt;"",LEFT(A7363, FIND("-", A7363) - 1),"")</f>
        <v/>
      </c>
    </row>
    <row r="7364" spans="3:3" x14ac:dyDescent="0.25">
      <c r="C7364" t="str">
        <f t="shared" si="115"/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ref="C7427:C7490" si="116">IF(A7427&lt;&gt;"",LEFT(A7427, FIND("-", A7427) - 1),"")</f>
        <v/>
      </c>
    </row>
    <row r="7428" spans="3:3" x14ac:dyDescent="0.25">
      <c r="C7428" t="str">
        <f t="shared" si="116"/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ref="C7491:C7554" si="117">IF(A7491&lt;&gt;"",LEFT(A7491, FIND("-", A7491) - 1),"")</f>
        <v/>
      </c>
    </row>
    <row r="7492" spans="3:3" x14ac:dyDescent="0.25">
      <c r="C7492" t="str">
        <f t="shared" si="117"/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ref="C7555:C7618" si="118">IF(A7555&lt;&gt;"",LEFT(A7555, FIND("-", A7555) - 1),"")</f>
        <v/>
      </c>
    </row>
    <row r="7556" spans="3:3" x14ac:dyDescent="0.25">
      <c r="C7556" t="str">
        <f t="shared" si="118"/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ref="C7619:C7682" si="119">IF(A7619&lt;&gt;"",LEFT(A7619, FIND("-", A7619) - 1),"")</f>
        <v/>
      </c>
    </row>
    <row r="7620" spans="3:3" x14ac:dyDescent="0.25">
      <c r="C7620" t="str">
        <f t="shared" si="119"/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ref="C7683:C7746" si="120">IF(A7683&lt;&gt;"",LEFT(A7683, FIND("-", A7683) - 1),"")</f>
        <v/>
      </c>
    </row>
    <row r="7684" spans="3:3" x14ac:dyDescent="0.25">
      <c r="C7684" t="str">
        <f t="shared" si="120"/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ref="C7747:C7810" si="121">IF(A7747&lt;&gt;"",LEFT(A7747, FIND("-", A7747) - 1),"")</f>
        <v/>
      </c>
    </row>
    <row r="7748" spans="3:3" x14ac:dyDescent="0.25">
      <c r="C7748" t="str">
        <f t="shared" si="121"/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ref="C7811:C7874" si="122">IF(A7811&lt;&gt;"",LEFT(A7811, FIND("-", A7811) - 1),"")</f>
        <v/>
      </c>
    </row>
    <row r="7812" spans="3:3" x14ac:dyDescent="0.25">
      <c r="C7812" t="str">
        <f t="shared" si="122"/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ref="C7875:C7938" si="123">IF(A7875&lt;&gt;"",LEFT(A7875, FIND("-", A7875) - 1),"")</f>
        <v/>
      </c>
    </row>
    <row r="7876" spans="3:3" x14ac:dyDescent="0.25">
      <c r="C7876" t="str">
        <f t="shared" si="123"/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ref="C7939:C8002" si="124">IF(A7939&lt;&gt;"",LEFT(A7939, FIND("-", A7939) - 1),"")</f>
        <v/>
      </c>
    </row>
    <row r="7940" spans="3:3" x14ac:dyDescent="0.25">
      <c r="C7940" t="str">
        <f t="shared" si="124"/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ref="C8003:C8066" si="125">IF(A8003&lt;&gt;"",LEFT(A8003, FIND("-", A8003) - 1),"")</f>
        <v/>
      </c>
    </row>
    <row r="8004" spans="3:3" x14ac:dyDescent="0.25">
      <c r="C8004" t="str">
        <f t="shared" si="125"/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ref="C8067:C8130" si="126">IF(A8067&lt;&gt;"",LEFT(A8067, FIND("-", A8067) - 1),"")</f>
        <v/>
      </c>
    </row>
    <row r="8068" spans="3:3" x14ac:dyDescent="0.25">
      <c r="C8068" t="str">
        <f t="shared" si="126"/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ref="C8131:C8194" si="127">IF(A8131&lt;&gt;"",LEFT(A8131, FIND("-", A8131) - 1),"")</f>
        <v/>
      </c>
    </row>
    <row r="8132" spans="3:3" x14ac:dyDescent="0.25">
      <c r="C8132" t="str">
        <f t="shared" si="127"/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ref="C8195:C8258" si="128">IF(A8195&lt;&gt;"",LEFT(A8195, FIND("-", A8195) - 1),"")</f>
        <v/>
      </c>
    </row>
    <row r="8196" spans="3:3" x14ac:dyDescent="0.25">
      <c r="C8196" t="str">
        <f t="shared" si="128"/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ref="C8259:C8322" si="129">IF(A8259&lt;&gt;"",LEFT(A8259, FIND("-", A8259) - 1),"")</f>
        <v/>
      </c>
    </row>
    <row r="8260" spans="3:3" x14ac:dyDescent="0.25">
      <c r="C8260" t="str">
        <f t="shared" si="129"/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ref="C8323:C8386" si="130">IF(A8323&lt;&gt;"",LEFT(A8323, FIND("-", A8323) - 1),"")</f>
        <v/>
      </c>
    </row>
    <row r="8324" spans="3:3" x14ac:dyDescent="0.25">
      <c r="C8324" t="str">
        <f t="shared" si="130"/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ref="C8387:C8450" si="131">IF(A8387&lt;&gt;"",LEFT(A8387, FIND("-", A8387) - 1),"")</f>
        <v/>
      </c>
    </row>
    <row r="8388" spans="3:3" x14ac:dyDescent="0.25">
      <c r="C8388" t="str">
        <f t="shared" si="131"/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ref="C8451:C8514" si="132">IF(A8451&lt;&gt;"",LEFT(A8451, FIND("-", A8451) - 1),"")</f>
        <v/>
      </c>
    </row>
    <row r="8452" spans="3:3" x14ac:dyDescent="0.25">
      <c r="C8452" t="str">
        <f t="shared" si="132"/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ref="C8515:C8578" si="133">IF(A8515&lt;&gt;"",LEFT(A8515, FIND("-", A8515) - 1),"")</f>
        <v/>
      </c>
    </row>
    <row r="8516" spans="3:3" x14ac:dyDescent="0.25">
      <c r="C8516" t="str">
        <f t="shared" si="133"/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ref="C8579:C8642" si="134">IF(A8579&lt;&gt;"",LEFT(A8579, FIND("-", A8579) - 1),"")</f>
        <v/>
      </c>
    </row>
    <row r="8580" spans="3:3" x14ac:dyDescent="0.25">
      <c r="C8580" t="str">
        <f t="shared" si="134"/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ref="C8643:C8706" si="135">IF(A8643&lt;&gt;"",LEFT(A8643, FIND("-", A8643) - 1),"")</f>
        <v/>
      </c>
    </row>
    <row r="8644" spans="3:3" x14ac:dyDescent="0.25">
      <c r="C8644" t="str">
        <f t="shared" si="135"/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ref="C8707:C8770" si="136">IF(A8707&lt;&gt;"",LEFT(A8707, FIND("-", A8707) - 1),"")</f>
        <v/>
      </c>
    </row>
    <row r="8708" spans="3:3" x14ac:dyDescent="0.25">
      <c r="C8708" t="str">
        <f t="shared" si="136"/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ref="C8771:C8834" si="137">IF(A8771&lt;&gt;"",LEFT(A8771, FIND("-", A8771) - 1),"")</f>
        <v/>
      </c>
    </row>
    <row r="8772" spans="3:3" x14ac:dyDescent="0.25">
      <c r="C8772" t="str">
        <f t="shared" si="137"/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ref="C8835:C8898" si="138">IF(A8835&lt;&gt;"",LEFT(A8835, FIND("-", A8835) - 1),"")</f>
        <v/>
      </c>
    </row>
    <row r="8836" spans="3:3" x14ac:dyDescent="0.25">
      <c r="C8836" t="str">
        <f t="shared" si="138"/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ref="C8899:C8962" si="139">IF(A8899&lt;&gt;"",LEFT(A8899, FIND("-", A8899) - 1),"")</f>
        <v/>
      </c>
    </row>
    <row r="8900" spans="3:3" x14ac:dyDescent="0.25">
      <c r="C8900" t="str">
        <f t="shared" si="139"/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ref="C8963:C9026" si="140">IF(A8963&lt;&gt;"",LEFT(A8963, FIND("-", A8963) - 1),"")</f>
        <v/>
      </c>
    </row>
    <row r="8964" spans="3:3" x14ac:dyDescent="0.25">
      <c r="C8964" t="str">
        <f t="shared" si="140"/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ref="C9027:C9090" si="141">IF(A9027&lt;&gt;"",LEFT(A9027, FIND("-", A9027) - 1),"")</f>
        <v/>
      </c>
    </row>
    <row r="9028" spans="3:3" x14ac:dyDescent="0.25">
      <c r="C9028" t="str">
        <f t="shared" si="141"/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ref="C9091:C9154" si="142">IF(A9091&lt;&gt;"",LEFT(A9091, FIND("-", A9091) - 1),"")</f>
        <v/>
      </c>
    </row>
    <row r="9092" spans="3:3" x14ac:dyDescent="0.25">
      <c r="C9092" t="str">
        <f t="shared" si="142"/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ref="C9155:C9218" si="143">IF(A9155&lt;&gt;"",LEFT(A9155, FIND("-", A9155) - 1),"")</f>
        <v/>
      </c>
    </row>
    <row r="9156" spans="3:3" x14ac:dyDescent="0.25">
      <c r="C9156" t="str">
        <f t="shared" si="143"/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ref="C9219:C9282" si="144">IF(A9219&lt;&gt;"",LEFT(A9219, FIND("-", A9219) - 1),"")</f>
        <v/>
      </c>
    </row>
    <row r="9220" spans="3:3" x14ac:dyDescent="0.25">
      <c r="C9220" t="str">
        <f t="shared" si="144"/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ref="C9283:C9346" si="145">IF(A9283&lt;&gt;"",LEFT(A9283, FIND("-", A9283) - 1),"")</f>
        <v/>
      </c>
    </row>
    <row r="9284" spans="3:3" x14ac:dyDescent="0.25">
      <c r="C9284" t="str">
        <f t="shared" si="145"/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ref="C9347:C9410" si="146">IF(A9347&lt;&gt;"",LEFT(A9347, FIND("-", A9347) - 1),"")</f>
        <v/>
      </c>
    </row>
    <row r="9348" spans="3:3" x14ac:dyDescent="0.25">
      <c r="C9348" t="str">
        <f t="shared" si="146"/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ref="C9411:C9474" si="147">IF(A9411&lt;&gt;"",LEFT(A9411, FIND("-", A9411) - 1),"")</f>
        <v/>
      </c>
    </row>
    <row r="9412" spans="3:3" x14ac:dyDescent="0.25">
      <c r="C9412" t="str">
        <f t="shared" si="147"/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ref="C9475:C9538" si="148">IF(A9475&lt;&gt;"",LEFT(A9475, FIND("-", A9475) - 1),"")</f>
        <v/>
      </c>
    </row>
    <row r="9476" spans="3:3" x14ac:dyDescent="0.25">
      <c r="C9476" t="str">
        <f t="shared" si="148"/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ref="C9539:C9602" si="149">IF(A9539&lt;&gt;"",LEFT(A9539, FIND("-", A9539) - 1),"")</f>
        <v/>
      </c>
    </row>
    <row r="9540" spans="3:3" x14ac:dyDescent="0.25">
      <c r="C9540" t="str">
        <f t="shared" si="149"/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ref="C9603:C9666" si="150">IF(A9603&lt;&gt;"",LEFT(A9603, FIND("-", A9603) - 1),"")</f>
        <v/>
      </c>
    </row>
    <row r="9604" spans="3:3" x14ac:dyDescent="0.25">
      <c r="C9604" t="str">
        <f t="shared" si="150"/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ref="C9667:C9730" si="151">IF(A9667&lt;&gt;"",LEFT(A9667, FIND("-", A9667) - 1),"")</f>
        <v/>
      </c>
    </row>
    <row r="9668" spans="3:3" x14ac:dyDescent="0.25">
      <c r="C9668" t="str">
        <f t="shared" si="151"/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ref="C9731:C9794" si="152">IF(A9731&lt;&gt;"",LEFT(A9731, FIND("-", A9731) - 1),"")</f>
        <v/>
      </c>
    </row>
    <row r="9732" spans="3:3" x14ac:dyDescent="0.25">
      <c r="C9732" t="str">
        <f t="shared" si="152"/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ref="C9795:C9858" si="153">IF(A9795&lt;&gt;"",LEFT(A9795, FIND("-", A9795) - 1),"")</f>
        <v/>
      </c>
    </row>
    <row r="9796" spans="3:3" x14ac:dyDescent="0.25">
      <c r="C9796" t="str">
        <f t="shared" si="153"/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ref="C9859:C9922" si="154">IF(A9859&lt;&gt;"",LEFT(A9859, FIND("-", A9859) - 1),"")</f>
        <v/>
      </c>
    </row>
    <row r="9860" spans="3:3" x14ac:dyDescent="0.25">
      <c r="C9860" t="str">
        <f t="shared" si="154"/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ref="C9923:C9986" si="155">IF(A9923&lt;&gt;"",LEFT(A9923, FIND("-", A9923) - 1),"")</f>
        <v/>
      </c>
    </row>
    <row r="9924" spans="3:3" x14ac:dyDescent="0.25">
      <c r="C9924" t="str">
        <f t="shared" si="155"/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ref="C9987:C10001" si="156">IF(A9987&lt;&gt;"",LEFT(A9987, FIND("-", A9987) - 1),"")</f>
        <v/>
      </c>
    </row>
    <row r="9988" spans="3:3" x14ac:dyDescent="0.25">
      <c r="C9988" t="str">
        <f t="shared" si="156"/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/>
  </sheetPr>
  <dimension ref="A1:FZY4"/>
  <sheetViews>
    <sheetView workbookViewId="0">
      <selection activeCell="G10" sqref="G10"/>
    </sheetView>
  </sheetViews>
  <sheetFormatPr defaultColWidth="9.28515625" defaultRowHeight="15" x14ac:dyDescent="0.25"/>
  <cols>
    <col min="1" max="1" width="77.42578125" style="28" customWidth="1"/>
    <col min="2" max="2" width="10.140625" style="28" customWidth="1"/>
    <col min="3" max="4" width="13.5703125" style="28" bestFit="1" customWidth="1"/>
    <col min="5" max="5" width="15.28515625" style="28" bestFit="1" customWidth="1"/>
    <col min="6" max="6" width="15" style="28" bestFit="1" customWidth="1"/>
    <col min="7" max="16384" width="9.28515625" style="28"/>
  </cols>
  <sheetData>
    <row r="1" spans="1:4757" ht="18.75" customHeight="1" x14ac:dyDescent="0.25">
      <c r="A1" s="27" t="s">
        <v>270</v>
      </c>
      <c r="B1" s="27" t="s">
        <v>269</v>
      </c>
    </row>
    <row r="2" spans="1:4757" x14ac:dyDescent="0.25">
      <c r="A2" s="28" t="s">
        <v>275</v>
      </c>
      <c r="B2" s="28">
        <v>40193</v>
      </c>
      <c r="E2" s="28" t="str" cm="1">
        <f t="array" ref="E2:F2">TRANSPOSE(_xlfn._xlws.SORT(_xlfn.UNIQUE(Clientes)))</f>
        <v>40193-Tecnologías Avanzadas SA de CV</v>
      </c>
      <c r="F2" s="28">
        <v>0</v>
      </c>
    </row>
    <row r="3" spans="1:4757" x14ac:dyDescent="0.25">
      <c r="A3" s="28" t="s">
        <v>276</v>
      </c>
      <c r="B3" s="28">
        <v>40193</v>
      </c>
      <c r="E3" s="28" t="str" cm="1">
        <f t="array" ref="E3:E4">_xlfn._xlws.FILTER(Rutas,_xlfn._xlws.FILTER($B$2:$B$10000,$B$2:$B$10000&lt;&gt;"")=VALUE(INDEX(IdClientes,MATCH(E2,Clientes,0))))</f>
        <v>10247-ABALA, YUCATAN / ACTEOPAN, PUEBLA</v>
      </c>
      <c r="F3" s="28" t="e" cm="1">
        <f t="array" ref="F3">_xlfn._xlws.FILTER(Rutas,_xlfn._xlws.FILTER($B$2:$B$10000,$B$2:$B$10000&lt;&gt;"")=VALUE(INDEX(IdClientes,MATCH(F2,Clientes,0))))</f>
        <v>#N/A</v>
      </c>
      <c r="G3" s="28" t="e" cm="1" vm="1">
        <f t="array" ref="G3">_xlfn._xlws.FILTER(Rutas,_xlfn._xlws.FILTER($B$2:$B$10000,$B$2:$B$10000&lt;&gt;"")=VALUE(INDEX(IdClientes,MATCH(G2,Clientes,0))))</f>
        <v>#VALUE!</v>
      </c>
      <c r="H3" s="28" t="e" cm="1" vm="1">
        <f t="array" ref="H3">_xlfn._xlws.FILTER(Rutas,_xlfn._xlws.FILTER($B$2:$B$10000,$B$2:$B$10000&lt;&gt;"")=VALUE(INDEX(IdClientes,MATCH(H2,Clientes,0))))</f>
        <v>#VALUE!</v>
      </c>
      <c r="I3" s="28" t="e" cm="1" vm="1">
        <f t="array" ref="I3">_xlfn._xlws.FILTER(Rutas,_xlfn._xlws.FILTER($B$2:$B$10000,$B$2:$B$10000&lt;&gt;"")=VALUE(INDEX(IdClientes,MATCH(I2,Clientes,0))))</f>
        <v>#VALUE!</v>
      </c>
      <c r="J3" s="28" t="e" cm="1" vm="1">
        <f t="array" ref="J3">_xlfn._xlws.FILTER(Rutas,_xlfn._xlws.FILTER($B$2:$B$10000,$B$2:$B$10000&lt;&gt;"")=VALUE(INDEX(IdClientes,MATCH(J2,Clientes,0))))</f>
        <v>#VALUE!</v>
      </c>
      <c r="K3" s="28" t="e" cm="1" vm="1">
        <f t="array" ref="K3">_xlfn._xlws.FILTER(Rutas,_xlfn._xlws.FILTER($B$2:$B$10000,$B$2:$B$10000&lt;&gt;"")=VALUE(INDEX(IdClientes,MATCH(K2,Clientes,0))))</f>
        <v>#VALUE!</v>
      </c>
      <c r="L3" s="28" t="e" cm="1" vm="1">
        <f t="array" ref="L3">_xlfn._xlws.FILTER(Rutas,_xlfn._xlws.FILTER($B$2:$B$10000,$B$2:$B$10000&lt;&gt;"")=VALUE(INDEX(IdClientes,MATCH(L2,Clientes,0))))</f>
        <v>#VALUE!</v>
      </c>
      <c r="M3" s="28" t="e" cm="1" vm="1">
        <f t="array" ref="M3">_xlfn._xlws.FILTER(Rutas,_xlfn._xlws.FILTER($B$2:$B$10000,$B$2:$B$10000&lt;&gt;"")=VALUE(INDEX(IdClientes,MATCH(M2,Clientes,0))))</f>
        <v>#VALUE!</v>
      </c>
      <c r="N3" s="28" t="e" cm="1" vm="1">
        <f t="array" ref="N3">_xlfn._xlws.FILTER(Rutas,_xlfn._xlws.FILTER($B$2:$B$10000,$B$2:$B$10000&lt;&gt;"")=VALUE(INDEX(IdClientes,MATCH(N2,Clientes,0))))</f>
        <v>#VALUE!</v>
      </c>
      <c r="O3" s="28" t="e" cm="1" vm="1">
        <f t="array" ref="O3">_xlfn._xlws.FILTER(Rutas,_xlfn._xlws.FILTER($B$2:$B$10000,$B$2:$B$10000&lt;&gt;"")=VALUE(INDEX(IdClientes,MATCH(O2,Clientes,0))))</f>
        <v>#VALUE!</v>
      </c>
      <c r="P3" s="28" t="e" cm="1" vm="1">
        <f t="array" ref="P3">_xlfn._xlws.FILTER(Rutas,_xlfn._xlws.FILTER($B$2:$B$10000,$B$2:$B$10000&lt;&gt;"")=VALUE(INDEX(IdClientes,MATCH(P2,Clientes,0))))</f>
        <v>#VALUE!</v>
      </c>
      <c r="Q3" s="28" t="e" cm="1" vm="1">
        <f t="array" ref="Q3">_xlfn._xlws.FILTER(Rutas,_xlfn._xlws.FILTER($B$2:$B$10000,$B$2:$B$10000&lt;&gt;"")=VALUE(INDEX(IdClientes,MATCH(Q2,Clientes,0))))</f>
        <v>#VALUE!</v>
      </c>
      <c r="R3" s="28" t="e" cm="1" vm="1">
        <f t="array" ref="R3">_xlfn._xlws.FILTER(Rutas,_xlfn._xlws.FILTER($B$2:$B$10000,$B$2:$B$10000&lt;&gt;"")=VALUE(INDEX(IdClientes,MATCH(R2,Clientes,0))))</f>
        <v>#VALUE!</v>
      </c>
      <c r="S3" s="28" t="e" cm="1" vm="1">
        <f t="array" ref="S3">_xlfn._xlws.FILTER(Rutas,_xlfn._xlws.FILTER($B$2:$B$10000,$B$2:$B$10000&lt;&gt;"")=VALUE(INDEX(IdClientes,MATCH(S2,Clientes,0))))</f>
        <v>#VALUE!</v>
      </c>
      <c r="T3" s="28" t="e" cm="1" vm="1">
        <f t="array" ref="T3">_xlfn._xlws.FILTER(Rutas,_xlfn._xlws.FILTER($B$2:$B$10000,$B$2:$B$10000&lt;&gt;"")=VALUE(INDEX(IdClientes,MATCH(T2,Clientes,0))))</f>
        <v>#VALUE!</v>
      </c>
      <c r="U3" s="28" t="e" cm="1" vm="1">
        <f t="array" ref="U3">_xlfn._xlws.FILTER(Rutas,_xlfn._xlws.FILTER($B$2:$B$10000,$B$2:$B$10000&lt;&gt;"")=VALUE(INDEX(IdClientes,MATCH(U2,Clientes,0))))</f>
        <v>#VALUE!</v>
      </c>
      <c r="V3" s="28" t="e" cm="1" vm="1">
        <f t="array" ref="V3">_xlfn._xlws.FILTER(Rutas,_xlfn._xlws.FILTER($B$2:$B$10000,$B$2:$B$10000&lt;&gt;"")=VALUE(INDEX(IdClientes,MATCH(V2,Clientes,0))))</f>
        <v>#VALUE!</v>
      </c>
      <c r="W3" s="28" t="e" cm="1" vm="1">
        <f t="array" ref="W3">_xlfn._xlws.FILTER(Rutas,_xlfn._xlws.FILTER($B$2:$B$10000,$B$2:$B$10000&lt;&gt;"")=VALUE(INDEX(IdClientes,MATCH(W2,Clientes,0))))</f>
        <v>#VALUE!</v>
      </c>
      <c r="X3" s="28" t="e" cm="1" vm="1">
        <f t="array" ref="X3">_xlfn._xlws.FILTER(Rutas,_xlfn._xlws.FILTER($B$2:$B$10000,$B$2:$B$10000&lt;&gt;"")=VALUE(INDEX(IdClientes,MATCH(X2,Clientes,0))))</f>
        <v>#VALUE!</v>
      </c>
      <c r="Y3" s="28" t="e" cm="1" vm="1">
        <f t="array" ref="Y3">_xlfn._xlws.FILTER(Rutas,_xlfn._xlws.FILTER($B$2:$B$10000,$B$2:$B$10000&lt;&gt;"")=VALUE(INDEX(IdClientes,MATCH(Y2,Clientes,0))))</f>
        <v>#VALUE!</v>
      </c>
      <c r="Z3" s="28" t="e" cm="1" vm="1">
        <f t="array" ref="Z3">_xlfn._xlws.FILTER(Rutas,_xlfn._xlws.FILTER($B$2:$B$10000,$B$2:$B$10000&lt;&gt;"")=VALUE(INDEX(IdClientes,MATCH(Z2,Clientes,0))))</f>
        <v>#VALUE!</v>
      </c>
      <c r="AA3" s="28" t="e" cm="1" vm="1">
        <f t="array" ref="AA3">_xlfn._xlws.FILTER(Rutas,_xlfn._xlws.FILTER($B$2:$B$10000,$B$2:$B$10000&lt;&gt;"")=VALUE(INDEX(IdClientes,MATCH(AA2,Clientes,0))))</f>
        <v>#VALUE!</v>
      </c>
      <c r="AB3" s="28" t="e" cm="1" vm="1">
        <f t="array" ref="AB3">_xlfn._xlws.FILTER(Rutas,_xlfn._xlws.FILTER($B$2:$B$10000,$B$2:$B$10000&lt;&gt;"")=VALUE(INDEX(IdClientes,MATCH(AB2,Clientes,0))))</f>
        <v>#VALUE!</v>
      </c>
      <c r="AC3" s="28" t="e" cm="1" vm="1">
        <f t="array" ref="AC3">_xlfn._xlws.FILTER(Rutas,_xlfn._xlws.FILTER($B$2:$B$10000,$B$2:$B$10000&lt;&gt;"")=VALUE(INDEX(IdClientes,MATCH(AC2,Clientes,0))))</f>
        <v>#VALUE!</v>
      </c>
      <c r="AD3" s="28" t="e" cm="1" vm="1">
        <f t="array" ref="AD3">_xlfn._xlws.FILTER(Rutas,_xlfn._xlws.FILTER($B$2:$B$10000,$B$2:$B$10000&lt;&gt;"")=VALUE(INDEX(IdClientes,MATCH(AD2,Clientes,0))))</f>
        <v>#VALUE!</v>
      </c>
      <c r="AE3" s="28" t="e" cm="1" vm="1">
        <f t="array" ref="AE3">_xlfn._xlws.FILTER(Rutas,_xlfn._xlws.FILTER($B$2:$B$10000,$B$2:$B$10000&lt;&gt;"")=VALUE(INDEX(IdClientes,MATCH(AE2,Clientes,0))))</f>
        <v>#VALUE!</v>
      </c>
      <c r="AF3" s="28" t="e" cm="1" vm="1">
        <f t="array" ref="AF3">_xlfn._xlws.FILTER(Rutas,_xlfn._xlws.FILTER($B$2:$B$10000,$B$2:$B$10000&lt;&gt;"")=VALUE(INDEX(IdClientes,MATCH(AF2,Clientes,0))))</f>
        <v>#VALUE!</v>
      </c>
      <c r="AG3" s="28" t="e" cm="1" vm="1">
        <f t="array" ref="AG3">_xlfn._xlws.FILTER(Rutas,_xlfn._xlws.FILTER($B$2:$B$10000,$B$2:$B$10000&lt;&gt;"")=VALUE(INDEX(IdClientes,MATCH(AG2,Clientes,0))))</f>
        <v>#VALUE!</v>
      </c>
      <c r="AH3" s="28" t="e" cm="1" vm="1">
        <f t="array" ref="AH3">_xlfn._xlws.FILTER(Rutas,_xlfn._xlws.FILTER($B$2:$B$10000,$B$2:$B$10000&lt;&gt;"")=VALUE(INDEX(IdClientes,MATCH(AH2,Clientes,0))))</f>
        <v>#VALUE!</v>
      </c>
      <c r="AI3" s="28" t="e" cm="1" vm="1">
        <f t="array" ref="AI3">_xlfn._xlws.FILTER(Rutas,_xlfn._xlws.FILTER($B$2:$B$10000,$B$2:$B$10000&lt;&gt;"")=VALUE(INDEX(IdClientes,MATCH(AI2,Clientes,0))))</f>
        <v>#VALUE!</v>
      </c>
      <c r="AJ3" s="28" t="e" cm="1" vm="1">
        <f t="array" ref="AJ3">_xlfn._xlws.FILTER(Rutas,_xlfn._xlws.FILTER($B$2:$B$10000,$B$2:$B$10000&lt;&gt;"")=VALUE(INDEX(IdClientes,MATCH(AJ2,Clientes,0))))</f>
        <v>#VALUE!</v>
      </c>
      <c r="AK3" s="28" t="e" cm="1" vm="1">
        <f t="array" ref="AK3">_xlfn._xlws.FILTER(Rutas,_xlfn._xlws.FILTER($B$2:$B$10000,$B$2:$B$10000&lt;&gt;"")=VALUE(INDEX(IdClientes,MATCH(AK2,Clientes,0))))</f>
        <v>#VALUE!</v>
      </c>
      <c r="AL3" s="28" t="e" cm="1" vm="1">
        <f t="array" ref="AL3">_xlfn._xlws.FILTER(Rutas,_xlfn._xlws.FILTER($B$2:$B$10000,$B$2:$B$10000&lt;&gt;"")=VALUE(INDEX(IdClientes,MATCH(AL2,Clientes,0))))</f>
        <v>#VALUE!</v>
      </c>
      <c r="AM3" s="28" t="e" cm="1" vm="1">
        <f t="array" ref="AM3">_xlfn._xlws.FILTER(Rutas,_xlfn._xlws.FILTER($B$2:$B$10000,$B$2:$B$10000&lt;&gt;"")=VALUE(INDEX(IdClientes,MATCH(AM2,Clientes,0))))</f>
        <v>#VALUE!</v>
      </c>
      <c r="AN3" s="28" t="e" cm="1" vm="1">
        <f t="array" ref="AN3">_xlfn._xlws.FILTER(Rutas,_xlfn._xlws.FILTER($B$2:$B$10000,$B$2:$B$10000&lt;&gt;"")=VALUE(INDEX(IdClientes,MATCH(AN2,Clientes,0))))</f>
        <v>#VALUE!</v>
      </c>
      <c r="AO3" s="28" t="e" cm="1" vm="1">
        <f t="array" ref="AO3">_xlfn._xlws.FILTER(Rutas,_xlfn._xlws.FILTER($B$2:$B$10000,$B$2:$B$10000&lt;&gt;"")=VALUE(INDEX(IdClientes,MATCH(AO2,Clientes,0))))</f>
        <v>#VALUE!</v>
      </c>
      <c r="AP3" s="28" t="e" cm="1" vm="1">
        <f t="array" ref="AP3">_xlfn._xlws.FILTER(Rutas,_xlfn._xlws.FILTER($B$2:$B$10000,$B$2:$B$10000&lt;&gt;"")=VALUE(INDEX(IdClientes,MATCH(AP2,Clientes,0))))</f>
        <v>#VALUE!</v>
      </c>
      <c r="AQ3" s="28" t="e" cm="1" vm="1">
        <f t="array" ref="AQ3">_xlfn._xlws.FILTER(Rutas,_xlfn._xlws.FILTER($B$2:$B$10000,$B$2:$B$10000&lt;&gt;"")=VALUE(INDEX(IdClientes,MATCH(AQ2,Clientes,0))))</f>
        <v>#VALUE!</v>
      </c>
      <c r="AR3" s="28" t="e" cm="1" vm="1">
        <f t="array" ref="AR3">_xlfn._xlws.FILTER(Rutas,_xlfn._xlws.FILTER($B$2:$B$10000,$B$2:$B$10000&lt;&gt;"")=VALUE(INDEX(IdClientes,MATCH(AR2,Clientes,0))))</f>
        <v>#VALUE!</v>
      </c>
      <c r="AS3" s="28" t="e" cm="1" vm="1">
        <f t="array" ref="AS3">_xlfn._xlws.FILTER(Rutas,_xlfn._xlws.FILTER($B$2:$B$10000,$B$2:$B$10000&lt;&gt;"")=VALUE(INDEX(IdClientes,MATCH(AS2,Clientes,0))))</f>
        <v>#VALUE!</v>
      </c>
      <c r="AT3" s="28" t="e" cm="1" vm="1">
        <f t="array" ref="AT3">_xlfn._xlws.FILTER(Rutas,_xlfn._xlws.FILTER($B$2:$B$10000,$B$2:$B$10000&lt;&gt;"")=VALUE(INDEX(IdClientes,MATCH(AT2,Clientes,0))))</f>
        <v>#VALUE!</v>
      </c>
      <c r="AU3" s="28" t="e" cm="1" vm="1">
        <f t="array" ref="AU3">_xlfn._xlws.FILTER(Rutas,_xlfn._xlws.FILTER($B$2:$B$10000,$B$2:$B$10000&lt;&gt;"")=VALUE(INDEX(IdClientes,MATCH(AU2,Clientes,0))))</f>
        <v>#VALUE!</v>
      </c>
      <c r="AV3" s="28" t="e" cm="1" vm="1">
        <f t="array" ref="AV3">_xlfn._xlws.FILTER(Rutas,_xlfn._xlws.FILTER($B$2:$B$10000,$B$2:$B$10000&lt;&gt;"")=VALUE(INDEX(IdClientes,MATCH(AV2,Clientes,0))))</f>
        <v>#VALUE!</v>
      </c>
      <c r="AW3" s="28" t="e" cm="1" vm="1">
        <f t="array" ref="AW3">_xlfn._xlws.FILTER(Rutas,_xlfn._xlws.FILTER($B$2:$B$10000,$B$2:$B$10000&lt;&gt;"")=VALUE(INDEX(IdClientes,MATCH(AW2,Clientes,0))))</f>
        <v>#VALUE!</v>
      </c>
      <c r="AX3" s="28" t="e" cm="1" vm="1">
        <f t="array" ref="AX3">_xlfn._xlws.FILTER(Rutas,_xlfn._xlws.FILTER($B$2:$B$10000,$B$2:$B$10000&lt;&gt;"")=VALUE(INDEX(IdClientes,MATCH(AX2,Clientes,0))))</f>
        <v>#VALUE!</v>
      </c>
      <c r="AY3" s="28" t="e" cm="1" vm="1">
        <f t="array" ref="AY3">_xlfn._xlws.FILTER(Rutas,_xlfn._xlws.FILTER($B$2:$B$10000,$B$2:$B$10000&lt;&gt;"")=VALUE(INDEX(IdClientes,MATCH(AY2,Clientes,0))))</f>
        <v>#VALUE!</v>
      </c>
      <c r="AZ3" s="28" t="e" cm="1" vm="1">
        <f t="array" ref="AZ3">_xlfn._xlws.FILTER(Rutas,_xlfn._xlws.FILTER($B$2:$B$10000,$B$2:$B$10000&lt;&gt;"")=VALUE(INDEX(IdClientes,MATCH(AZ2,Clientes,0))))</f>
        <v>#VALUE!</v>
      </c>
      <c r="BA3" s="28" t="e" cm="1" vm="1">
        <f t="array" ref="BA3">_xlfn._xlws.FILTER(Rutas,_xlfn._xlws.FILTER($B$2:$B$10000,$B$2:$B$10000&lt;&gt;"")=VALUE(INDEX(IdClientes,MATCH(BA2,Clientes,0))))</f>
        <v>#VALUE!</v>
      </c>
      <c r="BB3" s="28" t="e" cm="1" vm="1">
        <f t="array" ref="BB3">_xlfn._xlws.FILTER(Rutas,_xlfn._xlws.FILTER($B$2:$B$10000,$B$2:$B$10000&lt;&gt;"")=VALUE(INDEX(IdClientes,MATCH(BB2,Clientes,0))))</f>
        <v>#VALUE!</v>
      </c>
      <c r="BC3" s="28" t="e" cm="1" vm="1">
        <f t="array" ref="BC3">_xlfn._xlws.FILTER(Rutas,_xlfn._xlws.FILTER($B$2:$B$10000,$B$2:$B$10000&lt;&gt;"")=VALUE(INDEX(IdClientes,MATCH(BC2,Clientes,0))))</f>
        <v>#VALUE!</v>
      </c>
      <c r="BD3" s="28" t="e" cm="1" vm="1">
        <f t="array" ref="BD3">_xlfn._xlws.FILTER(Rutas,_xlfn._xlws.FILTER($B$2:$B$10000,$B$2:$B$10000&lt;&gt;"")=VALUE(INDEX(IdClientes,MATCH(BD2,Clientes,0))))</f>
        <v>#VALUE!</v>
      </c>
      <c r="BE3" s="28" t="e" cm="1" vm="1">
        <f t="array" ref="BE3">_xlfn._xlws.FILTER(Rutas,_xlfn._xlws.FILTER($B$2:$B$10000,$B$2:$B$10000&lt;&gt;"")=VALUE(INDEX(IdClientes,MATCH(BE2,Clientes,0))))</f>
        <v>#VALUE!</v>
      </c>
      <c r="BF3" s="28" t="e" cm="1" vm="1">
        <f t="array" ref="BF3">_xlfn._xlws.FILTER(Rutas,_xlfn._xlws.FILTER($B$2:$B$10000,$B$2:$B$10000&lt;&gt;"")=VALUE(INDEX(IdClientes,MATCH(BF2,Clientes,0))))</f>
        <v>#VALUE!</v>
      </c>
      <c r="BG3" s="28" t="e" cm="1" vm="1">
        <f t="array" ref="BG3">_xlfn._xlws.FILTER(Rutas,_xlfn._xlws.FILTER($B$2:$B$10000,$B$2:$B$10000&lt;&gt;"")=VALUE(INDEX(IdClientes,MATCH(BG2,Clientes,0))))</f>
        <v>#VALUE!</v>
      </c>
      <c r="BH3" s="28" t="e" cm="1" vm="1">
        <f t="array" ref="BH3">_xlfn._xlws.FILTER(Rutas,_xlfn._xlws.FILTER($B$2:$B$10000,$B$2:$B$10000&lt;&gt;"")=VALUE(INDEX(IdClientes,MATCH(BH2,Clientes,0))))</f>
        <v>#VALUE!</v>
      </c>
      <c r="BI3" s="28" t="e" cm="1" vm="1">
        <f t="array" ref="BI3">_xlfn._xlws.FILTER(Rutas,_xlfn._xlws.FILTER($B$2:$B$10000,$B$2:$B$10000&lt;&gt;"")=VALUE(INDEX(IdClientes,MATCH(BI2,Clientes,0))))</f>
        <v>#VALUE!</v>
      </c>
      <c r="BJ3" s="28" t="e" cm="1" vm="1">
        <f t="array" ref="BJ3">_xlfn._xlws.FILTER(Rutas,_xlfn._xlws.FILTER($B$2:$B$10000,$B$2:$B$10000&lt;&gt;"")=VALUE(INDEX(IdClientes,MATCH(BJ2,Clientes,0))))</f>
        <v>#VALUE!</v>
      </c>
      <c r="BK3" s="28" t="e" cm="1" vm="1">
        <f t="array" ref="BK3">_xlfn._xlws.FILTER(Rutas,_xlfn._xlws.FILTER($B$2:$B$10000,$B$2:$B$10000&lt;&gt;"")=VALUE(INDEX(IdClientes,MATCH(BK2,Clientes,0))))</f>
        <v>#VALUE!</v>
      </c>
      <c r="BL3" s="28" t="e" cm="1" vm="1">
        <f t="array" ref="BL3">_xlfn._xlws.FILTER(Rutas,_xlfn._xlws.FILTER($B$2:$B$10000,$B$2:$B$10000&lt;&gt;"")=VALUE(INDEX(IdClientes,MATCH(BL2,Clientes,0))))</f>
        <v>#VALUE!</v>
      </c>
      <c r="BM3" s="28" t="e" cm="1" vm="1">
        <f t="array" ref="BM3">_xlfn._xlws.FILTER(Rutas,_xlfn._xlws.FILTER($B$2:$B$10000,$B$2:$B$10000&lt;&gt;"")=VALUE(INDEX(IdClientes,MATCH(BM2,Clientes,0))))</f>
        <v>#VALUE!</v>
      </c>
      <c r="BN3" s="28" t="e" cm="1" vm="1">
        <f t="array" ref="BN3">_xlfn._xlws.FILTER(Rutas,_xlfn._xlws.FILTER($B$2:$B$10000,$B$2:$B$10000&lt;&gt;"")=VALUE(INDEX(IdClientes,MATCH(BN2,Clientes,0))))</f>
        <v>#VALUE!</v>
      </c>
      <c r="BO3" s="28" t="e" cm="1" vm="1">
        <f t="array" ref="BO3">_xlfn._xlws.FILTER(Rutas,_xlfn._xlws.FILTER($B$2:$B$10000,$B$2:$B$10000&lt;&gt;"")=VALUE(INDEX(IdClientes,MATCH(BO2,Clientes,0))))</f>
        <v>#VALUE!</v>
      </c>
      <c r="BP3" s="28" t="e" cm="1" vm="1">
        <f t="array" ref="BP3">_xlfn._xlws.FILTER(Rutas,_xlfn._xlws.FILTER($B$2:$B$10000,$B$2:$B$10000&lt;&gt;"")=VALUE(INDEX(IdClientes,MATCH(BP2,Clientes,0))))</f>
        <v>#VALUE!</v>
      </c>
      <c r="BQ3" s="28" t="e" cm="1" vm="1">
        <f t="array" ref="BQ3">_xlfn._xlws.FILTER(Rutas,_xlfn._xlws.FILTER($B$2:$B$10000,$B$2:$B$10000&lt;&gt;"")=VALUE(INDEX(IdClientes,MATCH(BQ2,Clientes,0))))</f>
        <v>#VALUE!</v>
      </c>
      <c r="BR3" s="28" t="e" cm="1" vm="1">
        <f t="array" ref="BR3">_xlfn._xlws.FILTER(Rutas,_xlfn._xlws.FILTER($B$2:$B$10000,$B$2:$B$10000&lt;&gt;"")=VALUE(INDEX(IdClientes,MATCH(BR2,Clientes,0))))</f>
        <v>#VALUE!</v>
      </c>
      <c r="BS3" s="28" t="e" cm="1" vm="1">
        <f t="array" ref="BS3">_xlfn._xlws.FILTER(Rutas,_xlfn._xlws.FILTER($B$2:$B$10000,$B$2:$B$10000&lt;&gt;"")=VALUE(INDEX(IdClientes,MATCH(BS2,Clientes,0))))</f>
        <v>#VALUE!</v>
      </c>
      <c r="BT3" s="28" t="e" cm="1" vm="1">
        <f t="array" ref="BT3">_xlfn._xlws.FILTER(Rutas,_xlfn._xlws.FILTER($B$2:$B$10000,$B$2:$B$10000&lt;&gt;"")=VALUE(INDEX(IdClientes,MATCH(BT2,Clientes,0))))</f>
        <v>#VALUE!</v>
      </c>
      <c r="BU3" s="28" t="e" cm="1" vm="1">
        <f t="array" ref="BU3">_xlfn._xlws.FILTER(Rutas,_xlfn._xlws.FILTER($B$2:$B$10000,$B$2:$B$10000&lt;&gt;"")=VALUE(INDEX(IdClientes,MATCH(BU2,Clientes,0))))</f>
        <v>#VALUE!</v>
      </c>
      <c r="BV3" s="28" t="e" cm="1" vm="1">
        <f t="array" ref="BV3">_xlfn._xlws.FILTER(Rutas,_xlfn._xlws.FILTER($B$2:$B$10000,$B$2:$B$10000&lt;&gt;"")=VALUE(INDEX(IdClientes,MATCH(BV2,Clientes,0))))</f>
        <v>#VALUE!</v>
      </c>
      <c r="BW3" s="28" t="e" cm="1" vm="1">
        <f t="array" ref="BW3">_xlfn._xlws.FILTER(Rutas,_xlfn._xlws.FILTER($B$2:$B$10000,$B$2:$B$10000&lt;&gt;"")=VALUE(INDEX(IdClientes,MATCH(BW2,Clientes,0))))</f>
        <v>#VALUE!</v>
      </c>
      <c r="BX3" s="28" t="e" cm="1" vm="1">
        <f t="array" ref="BX3">_xlfn._xlws.FILTER(Rutas,_xlfn._xlws.FILTER($B$2:$B$10000,$B$2:$B$10000&lt;&gt;"")=VALUE(INDEX(IdClientes,MATCH(BX2,Clientes,0))))</f>
        <v>#VALUE!</v>
      </c>
      <c r="BY3" s="28" t="e" cm="1" vm="1">
        <f t="array" ref="BY3">_xlfn._xlws.FILTER(Rutas,_xlfn._xlws.FILTER($B$2:$B$10000,$B$2:$B$10000&lt;&gt;"")=VALUE(INDEX(IdClientes,MATCH(BY2,Clientes,0))))</f>
        <v>#VALUE!</v>
      </c>
      <c r="BZ3" s="28" t="e" cm="1" vm="1">
        <f t="array" ref="BZ3">_xlfn._xlws.FILTER(Rutas,_xlfn._xlws.FILTER($B$2:$B$10000,$B$2:$B$10000&lt;&gt;"")=VALUE(INDEX(IdClientes,MATCH(BZ2,Clientes,0))))</f>
        <v>#VALUE!</v>
      </c>
      <c r="CA3" s="28" t="e" cm="1" vm="1">
        <f t="array" ref="CA3">_xlfn._xlws.FILTER(Rutas,_xlfn._xlws.FILTER($B$2:$B$10000,$B$2:$B$10000&lt;&gt;"")=VALUE(INDEX(IdClientes,MATCH(CA2,Clientes,0))))</f>
        <v>#VALUE!</v>
      </c>
      <c r="CB3" s="28" t="e" cm="1" vm="1">
        <f t="array" ref="CB3">_xlfn._xlws.FILTER(Rutas,_xlfn._xlws.FILTER($B$2:$B$10000,$B$2:$B$10000&lt;&gt;"")=VALUE(INDEX(IdClientes,MATCH(CB2,Clientes,0))))</f>
        <v>#VALUE!</v>
      </c>
      <c r="CC3" s="28" t="e" cm="1" vm="1">
        <f t="array" ref="CC3">_xlfn._xlws.FILTER(Rutas,_xlfn._xlws.FILTER($B$2:$B$10000,$B$2:$B$10000&lt;&gt;"")=VALUE(INDEX(IdClientes,MATCH(CC2,Clientes,0))))</f>
        <v>#VALUE!</v>
      </c>
      <c r="CD3" s="28" t="e" cm="1" vm="1">
        <f t="array" ref="CD3">_xlfn._xlws.FILTER(Rutas,_xlfn._xlws.FILTER($B$2:$B$10000,$B$2:$B$10000&lt;&gt;"")=VALUE(INDEX(IdClientes,MATCH(CD2,Clientes,0))))</f>
        <v>#VALUE!</v>
      </c>
      <c r="CE3" s="28" t="e" cm="1" vm="1">
        <f t="array" ref="CE3">_xlfn._xlws.FILTER(Rutas,_xlfn._xlws.FILTER($B$2:$B$10000,$B$2:$B$10000&lt;&gt;"")=VALUE(INDEX(IdClientes,MATCH(CE2,Clientes,0))))</f>
        <v>#VALUE!</v>
      </c>
      <c r="CF3" s="28" t="e" cm="1" vm="1">
        <f t="array" ref="CF3">_xlfn._xlws.FILTER(Rutas,_xlfn._xlws.FILTER($B$2:$B$10000,$B$2:$B$10000&lt;&gt;"")=VALUE(INDEX(IdClientes,MATCH(CF2,Clientes,0))))</f>
        <v>#VALUE!</v>
      </c>
      <c r="CG3" s="28" t="e" cm="1" vm="1">
        <f t="array" ref="CG3">_xlfn._xlws.FILTER(Rutas,_xlfn._xlws.FILTER($B$2:$B$10000,$B$2:$B$10000&lt;&gt;"")=VALUE(INDEX(IdClientes,MATCH(CG2,Clientes,0))))</f>
        <v>#VALUE!</v>
      </c>
      <c r="CH3" s="28" t="e" cm="1" vm="1">
        <f t="array" ref="CH3">_xlfn._xlws.FILTER(Rutas,_xlfn._xlws.FILTER($B$2:$B$10000,$B$2:$B$10000&lt;&gt;"")=VALUE(INDEX(IdClientes,MATCH(CH2,Clientes,0))))</f>
        <v>#VALUE!</v>
      </c>
      <c r="CI3" s="28" t="e" cm="1" vm="1">
        <f t="array" ref="CI3">_xlfn._xlws.FILTER(Rutas,_xlfn._xlws.FILTER($B$2:$B$10000,$B$2:$B$10000&lt;&gt;"")=VALUE(INDEX(IdClientes,MATCH(CI2,Clientes,0))))</f>
        <v>#VALUE!</v>
      </c>
      <c r="CJ3" s="28" t="e" cm="1" vm="1">
        <f t="array" ref="CJ3">_xlfn._xlws.FILTER(Rutas,_xlfn._xlws.FILTER($B$2:$B$10000,$B$2:$B$10000&lt;&gt;"")=VALUE(INDEX(IdClientes,MATCH(CJ2,Clientes,0))))</f>
        <v>#VALUE!</v>
      </c>
      <c r="CK3" s="28" t="e" cm="1" vm="1">
        <f t="array" ref="CK3">_xlfn._xlws.FILTER(Rutas,_xlfn._xlws.FILTER($B$2:$B$10000,$B$2:$B$10000&lt;&gt;"")=VALUE(INDEX(IdClientes,MATCH(CK2,Clientes,0))))</f>
        <v>#VALUE!</v>
      </c>
      <c r="CL3" s="28" t="e" cm="1" vm="1">
        <f t="array" ref="CL3">_xlfn._xlws.FILTER(Rutas,_xlfn._xlws.FILTER($B$2:$B$10000,$B$2:$B$10000&lt;&gt;"")=VALUE(INDEX(IdClientes,MATCH(CL2,Clientes,0))))</f>
        <v>#VALUE!</v>
      </c>
      <c r="CM3" s="28" t="e" cm="1" vm="1">
        <f t="array" ref="CM3">_xlfn._xlws.FILTER(Rutas,_xlfn._xlws.FILTER($B$2:$B$10000,$B$2:$B$10000&lt;&gt;"")=VALUE(INDEX(IdClientes,MATCH(CM2,Clientes,0))))</f>
        <v>#VALUE!</v>
      </c>
      <c r="CN3" s="28" t="e" cm="1" vm="1">
        <f t="array" ref="CN3">_xlfn._xlws.FILTER(Rutas,_xlfn._xlws.FILTER($B$2:$B$10000,$B$2:$B$10000&lt;&gt;"")=VALUE(INDEX(IdClientes,MATCH(CN2,Clientes,0))))</f>
        <v>#VALUE!</v>
      </c>
      <c r="CO3" s="28" t="e" cm="1" vm="1">
        <f t="array" ref="CO3">_xlfn._xlws.FILTER(Rutas,_xlfn._xlws.FILTER($B$2:$B$10000,$B$2:$B$10000&lt;&gt;"")=VALUE(INDEX(IdClientes,MATCH(CO2,Clientes,0))))</f>
        <v>#VALUE!</v>
      </c>
      <c r="CP3" s="28" t="e" cm="1" vm="1">
        <f t="array" ref="CP3">_xlfn._xlws.FILTER(Rutas,_xlfn._xlws.FILTER($B$2:$B$10000,$B$2:$B$10000&lt;&gt;"")=VALUE(INDEX(IdClientes,MATCH(CP2,Clientes,0))))</f>
        <v>#VALUE!</v>
      </c>
      <c r="CQ3" s="28" t="e" cm="1" vm="1">
        <f t="array" ref="CQ3">_xlfn._xlws.FILTER(Rutas,_xlfn._xlws.FILTER($B$2:$B$10000,$B$2:$B$10000&lt;&gt;"")=VALUE(INDEX(IdClientes,MATCH(CQ2,Clientes,0))))</f>
        <v>#VALUE!</v>
      </c>
      <c r="CR3" s="28" t="e" cm="1" vm="1">
        <f t="array" ref="CR3">_xlfn._xlws.FILTER(Rutas,_xlfn._xlws.FILTER($B$2:$B$10000,$B$2:$B$10000&lt;&gt;"")=VALUE(INDEX(IdClientes,MATCH(CR2,Clientes,0))))</f>
        <v>#VALUE!</v>
      </c>
      <c r="CS3" s="28" t="e" cm="1" vm="1">
        <f t="array" ref="CS3">_xlfn._xlws.FILTER(Rutas,_xlfn._xlws.FILTER($B$2:$B$10000,$B$2:$B$10000&lt;&gt;"")=VALUE(INDEX(IdClientes,MATCH(CS2,Clientes,0))))</f>
        <v>#VALUE!</v>
      </c>
      <c r="CT3" s="28" t="e" cm="1" vm="1">
        <f t="array" ref="CT3">_xlfn._xlws.FILTER(Rutas,_xlfn._xlws.FILTER($B$2:$B$10000,$B$2:$B$10000&lt;&gt;"")=VALUE(INDEX(IdClientes,MATCH(CT2,Clientes,0))))</f>
        <v>#VALUE!</v>
      </c>
      <c r="CU3" s="28" t="e" cm="1" vm="1">
        <f t="array" ref="CU3">_xlfn._xlws.FILTER(Rutas,_xlfn._xlws.FILTER($B$2:$B$10000,$B$2:$B$10000&lt;&gt;"")=VALUE(INDEX(IdClientes,MATCH(CU2,Clientes,0))))</f>
        <v>#VALUE!</v>
      </c>
      <c r="CV3" s="28" t="e" cm="1" vm="1">
        <f t="array" ref="CV3">_xlfn._xlws.FILTER(Rutas,_xlfn._xlws.FILTER($B$2:$B$10000,$B$2:$B$10000&lt;&gt;"")=VALUE(INDEX(IdClientes,MATCH(CV2,Clientes,0))))</f>
        <v>#VALUE!</v>
      </c>
      <c r="CW3" s="28" t="e" cm="1" vm="1">
        <f t="array" ref="CW3">_xlfn._xlws.FILTER(Rutas,_xlfn._xlws.FILTER($B$2:$B$10000,$B$2:$B$10000&lt;&gt;"")=VALUE(INDEX(IdClientes,MATCH(CW2,Clientes,0))))</f>
        <v>#VALUE!</v>
      </c>
      <c r="CX3" s="28" t="e" cm="1" vm="1">
        <f t="array" ref="CX3">_xlfn._xlws.FILTER(Rutas,_xlfn._xlws.FILTER($B$2:$B$10000,$B$2:$B$10000&lt;&gt;"")=VALUE(INDEX(IdClientes,MATCH(CX2,Clientes,0))))</f>
        <v>#VALUE!</v>
      </c>
      <c r="CY3" s="28" t="e" cm="1" vm="1">
        <f t="array" ref="CY3">_xlfn._xlws.FILTER(Rutas,_xlfn._xlws.FILTER($B$2:$B$10000,$B$2:$B$10000&lt;&gt;"")=VALUE(INDEX(IdClientes,MATCH(CY2,Clientes,0))))</f>
        <v>#VALUE!</v>
      </c>
      <c r="CZ3" s="28" t="e" cm="1" vm="1">
        <f t="array" ref="CZ3">_xlfn._xlws.FILTER(Rutas,_xlfn._xlws.FILTER($B$2:$B$10000,$B$2:$B$10000&lt;&gt;"")=VALUE(INDEX(IdClientes,MATCH(CZ2,Clientes,0))))</f>
        <v>#VALUE!</v>
      </c>
      <c r="DA3" s="28" t="e" cm="1" vm="1">
        <f t="array" ref="DA3">_xlfn._xlws.FILTER(Rutas,_xlfn._xlws.FILTER($B$2:$B$10000,$B$2:$B$10000&lt;&gt;"")=VALUE(INDEX(IdClientes,MATCH(DA2,Clientes,0))))</f>
        <v>#VALUE!</v>
      </c>
      <c r="DB3" s="28" t="e" cm="1" vm="1">
        <f t="array" ref="DB3">_xlfn._xlws.FILTER(Rutas,_xlfn._xlws.FILTER($B$2:$B$10000,$B$2:$B$10000&lt;&gt;"")=VALUE(INDEX(IdClientes,MATCH(DB2,Clientes,0))))</f>
        <v>#VALUE!</v>
      </c>
      <c r="DC3" s="28" t="e" cm="1" vm="1">
        <f t="array" ref="DC3">_xlfn._xlws.FILTER(Rutas,_xlfn._xlws.FILTER($B$2:$B$10000,$B$2:$B$10000&lt;&gt;"")=VALUE(INDEX(IdClientes,MATCH(DC2,Clientes,0))))</f>
        <v>#VALUE!</v>
      </c>
      <c r="DD3" s="28" t="e" cm="1" vm="1">
        <f t="array" ref="DD3">_xlfn._xlws.FILTER(Rutas,_xlfn._xlws.FILTER($B$2:$B$10000,$B$2:$B$10000&lt;&gt;"")=VALUE(INDEX(IdClientes,MATCH(DD2,Clientes,0))))</f>
        <v>#VALUE!</v>
      </c>
      <c r="DE3" s="28" t="e" cm="1" vm="1">
        <f t="array" ref="DE3">_xlfn._xlws.FILTER(Rutas,_xlfn._xlws.FILTER($B$2:$B$10000,$B$2:$B$10000&lt;&gt;"")=VALUE(INDEX(IdClientes,MATCH(DE2,Clientes,0))))</f>
        <v>#VALUE!</v>
      </c>
      <c r="DF3" s="28" t="e" cm="1" vm="1">
        <f t="array" ref="DF3">_xlfn._xlws.FILTER(Rutas,_xlfn._xlws.FILTER($B$2:$B$10000,$B$2:$B$10000&lt;&gt;"")=VALUE(INDEX(IdClientes,MATCH(DF2,Clientes,0))))</f>
        <v>#VALUE!</v>
      </c>
      <c r="DG3" s="28" t="e" cm="1" vm="1">
        <f t="array" ref="DG3">_xlfn._xlws.FILTER(Rutas,_xlfn._xlws.FILTER($B$2:$B$10000,$B$2:$B$10000&lt;&gt;"")=VALUE(INDEX(IdClientes,MATCH(DG2,Clientes,0))))</f>
        <v>#VALUE!</v>
      </c>
      <c r="DH3" s="28" t="e" cm="1" vm="1">
        <f t="array" ref="DH3">_xlfn._xlws.FILTER(Rutas,_xlfn._xlws.FILTER($B$2:$B$10000,$B$2:$B$10000&lt;&gt;"")=VALUE(INDEX(IdClientes,MATCH(DH2,Clientes,0))))</f>
        <v>#VALUE!</v>
      </c>
      <c r="DI3" s="28" t="e" cm="1" vm="1">
        <f t="array" ref="DI3">_xlfn._xlws.FILTER(Rutas,_xlfn._xlws.FILTER($B$2:$B$10000,$B$2:$B$10000&lt;&gt;"")=VALUE(INDEX(IdClientes,MATCH(DI2,Clientes,0))))</f>
        <v>#VALUE!</v>
      </c>
      <c r="DJ3" s="28" t="e" cm="1" vm="1">
        <f t="array" ref="DJ3">_xlfn._xlws.FILTER(Rutas,_xlfn._xlws.FILTER($B$2:$B$10000,$B$2:$B$10000&lt;&gt;"")=VALUE(INDEX(IdClientes,MATCH(DJ2,Clientes,0))))</f>
        <v>#VALUE!</v>
      </c>
      <c r="DK3" s="28" t="e" cm="1" vm="1">
        <f t="array" ref="DK3">_xlfn._xlws.FILTER(Rutas,_xlfn._xlws.FILTER($B$2:$B$10000,$B$2:$B$10000&lt;&gt;"")=VALUE(INDEX(IdClientes,MATCH(DK2,Clientes,0))))</f>
        <v>#VALUE!</v>
      </c>
      <c r="DL3" s="28" t="e" cm="1" vm="1">
        <f t="array" ref="DL3">_xlfn._xlws.FILTER(Rutas,_xlfn._xlws.FILTER($B$2:$B$10000,$B$2:$B$10000&lt;&gt;"")=VALUE(INDEX(IdClientes,MATCH(DL2,Clientes,0))))</f>
        <v>#VALUE!</v>
      </c>
      <c r="DM3" s="28" t="e" cm="1" vm="1">
        <f t="array" ref="DM3">_xlfn._xlws.FILTER(Rutas,_xlfn._xlws.FILTER($B$2:$B$10000,$B$2:$B$10000&lt;&gt;"")=VALUE(INDEX(IdClientes,MATCH(DM2,Clientes,0))))</f>
        <v>#VALUE!</v>
      </c>
      <c r="DN3" s="28" t="e" cm="1" vm="1">
        <f t="array" ref="DN3">_xlfn._xlws.FILTER(Rutas,_xlfn._xlws.FILTER($B$2:$B$10000,$B$2:$B$10000&lt;&gt;"")=VALUE(INDEX(IdClientes,MATCH(DN2,Clientes,0))))</f>
        <v>#VALUE!</v>
      </c>
      <c r="DO3" s="28" t="e" cm="1" vm="1">
        <f t="array" ref="DO3">_xlfn._xlws.FILTER(Rutas,_xlfn._xlws.FILTER($B$2:$B$10000,$B$2:$B$10000&lt;&gt;"")=VALUE(INDEX(IdClientes,MATCH(DO2,Clientes,0))))</f>
        <v>#VALUE!</v>
      </c>
      <c r="DP3" s="28" t="e" cm="1" vm="1">
        <f t="array" ref="DP3">_xlfn._xlws.FILTER(Rutas,_xlfn._xlws.FILTER($B$2:$B$10000,$B$2:$B$10000&lt;&gt;"")=VALUE(INDEX(IdClientes,MATCH(DP2,Clientes,0))))</f>
        <v>#VALUE!</v>
      </c>
      <c r="DQ3" s="28" t="e" cm="1" vm="1">
        <f t="array" ref="DQ3">_xlfn._xlws.FILTER(Rutas,_xlfn._xlws.FILTER($B$2:$B$10000,$B$2:$B$10000&lt;&gt;"")=VALUE(INDEX(IdClientes,MATCH(DQ2,Clientes,0))))</f>
        <v>#VALUE!</v>
      </c>
      <c r="DR3" s="28" t="e" cm="1" vm="1">
        <f t="array" ref="DR3">_xlfn._xlws.FILTER(Rutas,_xlfn._xlws.FILTER($B$2:$B$10000,$B$2:$B$10000&lt;&gt;"")=VALUE(INDEX(IdClientes,MATCH(DR2,Clientes,0))))</f>
        <v>#VALUE!</v>
      </c>
      <c r="DS3" s="28" t="e" cm="1" vm="1">
        <f t="array" ref="DS3">_xlfn._xlws.FILTER(Rutas,_xlfn._xlws.FILTER($B$2:$B$10000,$B$2:$B$10000&lt;&gt;"")=VALUE(INDEX(IdClientes,MATCH(DS2,Clientes,0))))</f>
        <v>#VALUE!</v>
      </c>
      <c r="DT3" s="28" t="e" cm="1" vm="1">
        <f t="array" ref="DT3">_xlfn._xlws.FILTER(Rutas,_xlfn._xlws.FILTER($B$2:$B$10000,$B$2:$B$10000&lt;&gt;"")=VALUE(INDEX(IdClientes,MATCH(DT2,Clientes,0))))</f>
        <v>#VALUE!</v>
      </c>
      <c r="DU3" s="28" t="e" cm="1" vm="1">
        <f t="array" ref="DU3">_xlfn._xlws.FILTER(Rutas,_xlfn._xlws.FILTER($B$2:$B$10000,$B$2:$B$10000&lt;&gt;"")=VALUE(INDEX(IdClientes,MATCH(DU2,Clientes,0))))</f>
        <v>#VALUE!</v>
      </c>
      <c r="DV3" s="28" t="e" cm="1" vm="1">
        <f t="array" ref="DV3">_xlfn._xlws.FILTER(Rutas,_xlfn._xlws.FILTER($B$2:$B$10000,$B$2:$B$10000&lt;&gt;"")=VALUE(INDEX(IdClientes,MATCH(DV2,Clientes,0))))</f>
        <v>#VALUE!</v>
      </c>
      <c r="DW3" s="28" t="e" cm="1" vm="1">
        <f t="array" ref="DW3">_xlfn._xlws.FILTER(Rutas,_xlfn._xlws.FILTER($B$2:$B$10000,$B$2:$B$10000&lt;&gt;"")=VALUE(INDEX(IdClientes,MATCH(DW2,Clientes,0))))</f>
        <v>#VALUE!</v>
      </c>
      <c r="DX3" s="28" t="e" cm="1" vm="1">
        <f t="array" ref="DX3">_xlfn._xlws.FILTER(Rutas,_xlfn._xlws.FILTER($B$2:$B$10000,$B$2:$B$10000&lt;&gt;"")=VALUE(INDEX(IdClientes,MATCH(DX2,Clientes,0))))</f>
        <v>#VALUE!</v>
      </c>
      <c r="DY3" s="28" t="e" cm="1" vm="1">
        <f t="array" ref="DY3">_xlfn._xlws.FILTER(Rutas,_xlfn._xlws.FILTER($B$2:$B$10000,$B$2:$B$10000&lt;&gt;"")=VALUE(INDEX(IdClientes,MATCH(DY2,Clientes,0))))</f>
        <v>#VALUE!</v>
      </c>
      <c r="DZ3" s="28" t="e" cm="1" vm="1">
        <f t="array" ref="DZ3">_xlfn._xlws.FILTER(Rutas,_xlfn._xlws.FILTER($B$2:$B$10000,$B$2:$B$10000&lt;&gt;"")=VALUE(INDEX(IdClientes,MATCH(DZ2,Clientes,0))))</f>
        <v>#VALUE!</v>
      </c>
      <c r="EA3" s="28" t="e" cm="1" vm="1">
        <f t="array" ref="EA3">_xlfn._xlws.FILTER(Rutas,_xlfn._xlws.FILTER($B$2:$B$10000,$B$2:$B$10000&lt;&gt;"")=VALUE(INDEX(IdClientes,MATCH(EA2,Clientes,0))))</f>
        <v>#VALUE!</v>
      </c>
      <c r="EB3" s="28" t="e" cm="1" vm="1">
        <f t="array" ref="EB3">_xlfn._xlws.FILTER(Rutas,_xlfn._xlws.FILTER($B$2:$B$10000,$B$2:$B$10000&lt;&gt;"")=VALUE(INDEX(IdClientes,MATCH(EB2,Clientes,0))))</f>
        <v>#VALUE!</v>
      </c>
      <c r="EC3" s="28" t="e" cm="1" vm="1">
        <f t="array" ref="EC3">_xlfn._xlws.FILTER(Rutas,_xlfn._xlws.FILTER($B$2:$B$10000,$B$2:$B$10000&lt;&gt;"")=VALUE(INDEX(IdClientes,MATCH(EC2,Clientes,0))))</f>
        <v>#VALUE!</v>
      </c>
      <c r="ED3" s="28" t="e" cm="1" vm="1">
        <f t="array" ref="ED3">_xlfn._xlws.FILTER(Rutas,_xlfn._xlws.FILTER($B$2:$B$10000,$B$2:$B$10000&lt;&gt;"")=VALUE(INDEX(IdClientes,MATCH(ED2,Clientes,0))))</f>
        <v>#VALUE!</v>
      </c>
      <c r="EE3" s="28" t="e" cm="1" vm="1">
        <f t="array" ref="EE3">_xlfn._xlws.FILTER(Rutas,_xlfn._xlws.FILTER($B$2:$B$10000,$B$2:$B$10000&lt;&gt;"")=VALUE(INDEX(IdClientes,MATCH(EE2,Clientes,0))))</f>
        <v>#VALUE!</v>
      </c>
      <c r="EF3" s="28" t="e" cm="1" vm="1">
        <f t="array" ref="EF3">_xlfn._xlws.FILTER(Rutas,_xlfn._xlws.FILTER($B$2:$B$10000,$B$2:$B$10000&lt;&gt;"")=VALUE(INDEX(IdClientes,MATCH(EF2,Clientes,0))))</f>
        <v>#VALUE!</v>
      </c>
      <c r="EG3" s="28" t="e" cm="1" vm="1">
        <f t="array" ref="EG3">_xlfn._xlws.FILTER(Rutas,_xlfn._xlws.FILTER($B$2:$B$10000,$B$2:$B$10000&lt;&gt;"")=VALUE(INDEX(IdClientes,MATCH(EG2,Clientes,0))))</f>
        <v>#VALUE!</v>
      </c>
      <c r="EH3" s="28" t="e" cm="1" vm="1">
        <f t="array" ref="EH3">_xlfn._xlws.FILTER(Rutas,_xlfn._xlws.FILTER($B$2:$B$10000,$B$2:$B$10000&lt;&gt;"")=VALUE(INDEX(IdClientes,MATCH(EH2,Clientes,0))))</f>
        <v>#VALUE!</v>
      </c>
      <c r="EI3" s="28" t="e" cm="1" vm="1">
        <f t="array" ref="EI3">_xlfn._xlws.FILTER(Rutas,_xlfn._xlws.FILTER($B$2:$B$10000,$B$2:$B$10000&lt;&gt;"")=VALUE(INDEX(IdClientes,MATCH(EI2,Clientes,0))))</f>
        <v>#VALUE!</v>
      </c>
      <c r="EJ3" s="28" t="e" cm="1" vm="1">
        <f t="array" ref="EJ3">_xlfn._xlws.FILTER(Rutas,_xlfn._xlws.FILTER($B$2:$B$10000,$B$2:$B$10000&lt;&gt;"")=VALUE(INDEX(IdClientes,MATCH(EJ2,Clientes,0))))</f>
        <v>#VALUE!</v>
      </c>
      <c r="EK3" s="28" t="e" cm="1" vm="1">
        <f t="array" ref="EK3">_xlfn._xlws.FILTER(Rutas,_xlfn._xlws.FILTER($B$2:$B$10000,$B$2:$B$10000&lt;&gt;"")=VALUE(INDEX(IdClientes,MATCH(EK2,Clientes,0))))</f>
        <v>#VALUE!</v>
      </c>
      <c r="EL3" s="28" t="e" cm="1" vm="1">
        <f t="array" ref="EL3">_xlfn._xlws.FILTER(Rutas,_xlfn._xlws.FILTER($B$2:$B$10000,$B$2:$B$10000&lt;&gt;"")=VALUE(INDEX(IdClientes,MATCH(EL2,Clientes,0))))</f>
        <v>#VALUE!</v>
      </c>
      <c r="EM3" s="28" t="e" cm="1" vm="1">
        <f t="array" ref="EM3">_xlfn._xlws.FILTER(Rutas,_xlfn._xlws.FILTER($B$2:$B$10000,$B$2:$B$10000&lt;&gt;"")=VALUE(INDEX(IdClientes,MATCH(EM2,Clientes,0))))</f>
        <v>#VALUE!</v>
      </c>
      <c r="EN3" s="28" t="e" cm="1" vm="1">
        <f t="array" ref="EN3">_xlfn._xlws.FILTER(Rutas,_xlfn._xlws.FILTER($B$2:$B$10000,$B$2:$B$10000&lt;&gt;"")=VALUE(INDEX(IdClientes,MATCH(EN2,Clientes,0))))</f>
        <v>#VALUE!</v>
      </c>
      <c r="EO3" s="28" t="e" cm="1" vm="1">
        <f t="array" ref="EO3">_xlfn._xlws.FILTER(Rutas,_xlfn._xlws.FILTER($B$2:$B$10000,$B$2:$B$10000&lt;&gt;"")=VALUE(INDEX(IdClientes,MATCH(EO2,Clientes,0))))</f>
        <v>#VALUE!</v>
      </c>
      <c r="EP3" s="28" t="e" cm="1" vm="1">
        <f t="array" ref="EP3">_xlfn._xlws.FILTER(Rutas,_xlfn._xlws.FILTER($B$2:$B$10000,$B$2:$B$10000&lt;&gt;"")=VALUE(INDEX(IdClientes,MATCH(EP2,Clientes,0))))</f>
        <v>#VALUE!</v>
      </c>
      <c r="EQ3" s="28" t="e" cm="1" vm="1">
        <f t="array" ref="EQ3">_xlfn._xlws.FILTER(Rutas,_xlfn._xlws.FILTER($B$2:$B$10000,$B$2:$B$10000&lt;&gt;"")=VALUE(INDEX(IdClientes,MATCH(EQ2,Clientes,0))))</f>
        <v>#VALUE!</v>
      </c>
      <c r="ER3" s="28" t="e" cm="1" vm="1">
        <f t="array" ref="ER3">_xlfn._xlws.FILTER(Rutas,_xlfn._xlws.FILTER($B$2:$B$10000,$B$2:$B$10000&lt;&gt;"")=VALUE(INDEX(IdClientes,MATCH(ER2,Clientes,0))))</f>
        <v>#VALUE!</v>
      </c>
      <c r="ES3" s="28" t="e" cm="1" vm="1">
        <f t="array" ref="ES3">_xlfn._xlws.FILTER(Rutas,_xlfn._xlws.FILTER($B$2:$B$10000,$B$2:$B$10000&lt;&gt;"")=VALUE(INDEX(IdClientes,MATCH(ES2,Clientes,0))))</f>
        <v>#VALUE!</v>
      </c>
      <c r="ET3" s="28" t="e" cm="1" vm="1">
        <f t="array" ref="ET3">_xlfn._xlws.FILTER(Rutas,_xlfn._xlws.FILTER($B$2:$B$10000,$B$2:$B$10000&lt;&gt;"")=VALUE(INDEX(IdClientes,MATCH(ET2,Clientes,0))))</f>
        <v>#VALUE!</v>
      </c>
      <c r="EU3" s="28" t="e" cm="1" vm="1">
        <f t="array" ref="EU3">_xlfn._xlws.FILTER(Rutas,_xlfn._xlws.FILTER($B$2:$B$10000,$B$2:$B$10000&lt;&gt;"")=VALUE(INDEX(IdClientes,MATCH(EU2,Clientes,0))))</f>
        <v>#VALUE!</v>
      </c>
      <c r="EV3" s="28" t="e" cm="1" vm="1">
        <f t="array" ref="EV3">_xlfn._xlws.FILTER(Rutas,_xlfn._xlws.FILTER($B$2:$B$10000,$B$2:$B$10000&lt;&gt;"")=VALUE(INDEX(IdClientes,MATCH(EV2,Clientes,0))))</f>
        <v>#VALUE!</v>
      </c>
      <c r="EW3" s="28" t="e" cm="1" vm="1">
        <f t="array" ref="EW3">_xlfn._xlws.FILTER(Rutas,_xlfn._xlws.FILTER($B$2:$B$10000,$B$2:$B$10000&lt;&gt;"")=VALUE(INDEX(IdClientes,MATCH(EW2,Clientes,0))))</f>
        <v>#VALUE!</v>
      </c>
      <c r="EX3" s="28" t="e" cm="1" vm="1">
        <f t="array" ref="EX3">_xlfn._xlws.FILTER(Rutas,_xlfn._xlws.FILTER($B$2:$B$10000,$B$2:$B$10000&lt;&gt;"")=VALUE(INDEX(IdClientes,MATCH(EX2,Clientes,0))))</f>
        <v>#VALUE!</v>
      </c>
      <c r="EY3" s="28" t="e" cm="1" vm="1">
        <f t="array" ref="EY3">_xlfn._xlws.FILTER(Rutas,_xlfn._xlws.FILTER($B$2:$B$10000,$B$2:$B$10000&lt;&gt;"")=VALUE(INDEX(IdClientes,MATCH(EY2,Clientes,0))))</f>
        <v>#VALUE!</v>
      </c>
      <c r="EZ3" s="28" t="e" cm="1" vm="1">
        <f t="array" ref="EZ3">_xlfn._xlws.FILTER(Rutas,_xlfn._xlws.FILTER($B$2:$B$10000,$B$2:$B$10000&lt;&gt;"")=VALUE(INDEX(IdClientes,MATCH(EZ2,Clientes,0))))</f>
        <v>#VALUE!</v>
      </c>
      <c r="FA3" s="28" t="e" cm="1" vm="1">
        <f t="array" ref="FA3">_xlfn._xlws.FILTER(Rutas,_xlfn._xlws.FILTER($B$2:$B$10000,$B$2:$B$10000&lt;&gt;"")=VALUE(INDEX(IdClientes,MATCH(FA2,Clientes,0))))</f>
        <v>#VALUE!</v>
      </c>
      <c r="FB3" s="28" t="e" cm="1" vm="1">
        <f t="array" ref="FB3">_xlfn._xlws.FILTER(Rutas,_xlfn._xlws.FILTER($B$2:$B$10000,$B$2:$B$10000&lt;&gt;"")=VALUE(INDEX(IdClientes,MATCH(FB2,Clientes,0))))</f>
        <v>#VALUE!</v>
      </c>
      <c r="FC3" s="28" t="e" cm="1" vm="1">
        <f t="array" ref="FC3">_xlfn._xlws.FILTER(Rutas,_xlfn._xlws.FILTER($B$2:$B$10000,$B$2:$B$10000&lt;&gt;"")=VALUE(INDEX(IdClientes,MATCH(FC2,Clientes,0))))</f>
        <v>#VALUE!</v>
      </c>
      <c r="FD3" s="28" t="e" cm="1" vm="1">
        <f t="array" ref="FD3">_xlfn._xlws.FILTER(Rutas,_xlfn._xlws.FILTER($B$2:$B$10000,$B$2:$B$10000&lt;&gt;"")=VALUE(INDEX(IdClientes,MATCH(FD2,Clientes,0))))</f>
        <v>#VALUE!</v>
      </c>
      <c r="FE3" s="28" t="e" cm="1" vm="1">
        <f t="array" ref="FE3">_xlfn._xlws.FILTER(Rutas,_xlfn._xlws.FILTER($B$2:$B$10000,$B$2:$B$10000&lt;&gt;"")=VALUE(INDEX(IdClientes,MATCH(FE2,Clientes,0))))</f>
        <v>#VALUE!</v>
      </c>
      <c r="FF3" s="28" t="e" cm="1" vm="1">
        <f t="array" ref="FF3">_xlfn._xlws.FILTER(Rutas,_xlfn._xlws.FILTER($B$2:$B$10000,$B$2:$B$10000&lt;&gt;"")=VALUE(INDEX(IdClientes,MATCH(FF2,Clientes,0))))</f>
        <v>#VALUE!</v>
      </c>
      <c r="FG3" s="28" t="e" cm="1" vm="1">
        <f t="array" ref="FG3">_xlfn._xlws.FILTER(Rutas,_xlfn._xlws.FILTER($B$2:$B$10000,$B$2:$B$10000&lt;&gt;"")=VALUE(INDEX(IdClientes,MATCH(FG2,Clientes,0))))</f>
        <v>#VALUE!</v>
      </c>
      <c r="FH3" s="28" t="e" cm="1" vm="1">
        <f t="array" ref="FH3">_xlfn._xlws.FILTER(Rutas,_xlfn._xlws.FILTER($B$2:$B$10000,$B$2:$B$10000&lt;&gt;"")=VALUE(INDEX(IdClientes,MATCH(FH2,Clientes,0))))</f>
        <v>#VALUE!</v>
      </c>
      <c r="FI3" s="28" t="e" cm="1" vm="1">
        <f t="array" ref="FI3">_xlfn._xlws.FILTER(Rutas,_xlfn._xlws.FILTER($B$2:$B$10000,$B$2:$B$10000&lt;&gt;"")=VALUE(INDEX(IdClientes,MATCH(FI2,Clientes,0))))</f>
        <v>#VALUE!</v>
      </c>
      <c r="FJ3" s="28" t="e" cm="1" vm="1">
        <f t="array" ref="FJ3">_xlfn._xlws.FILTER(Rutas,_xlfn._xlws.FILTER($B$2:$B$10000,$B$2:$B$10000&lt;&gt;"")=VALUE(INDEX(IdClientes,MATCH(FJ2,Clientes,0))))</f>
        <v>#VALUE!</v>
      </c>
      <c r="FK3" s="28" t="e" cm="1" vm="1">
        <f t="array" ref="FK3">_xlfn._xlws.FILTER(Rutas,_xlfn._xlws.FILTER($B$2:$B$10000,$B$2:$B$10000&lt;&gt;"")=VALUE(INDEX(IdClientes,MATCH(FK2,Clientes,0))))</f>
        <v>#VALUE!</v>
      </c>
      <c r="FL3" s="28" t="e" cm="1" vm="1">
        <f t="array" ref="FL3">_xlfn._xlws.FILTER(Rutas,_xlfn._xlws.FILTER($B$2:$B$10000,$B$2:$B$10000&lt;&gt;"")=VALUE(INDEX(IdClientes,MATCH(FL2,Clientes,0))))</f>
        <v>#VALUE!</v>
      </c>
      <c r="FM3" s="28" t="e" cm="1" vm="1">
        <f t="array" ref="FM3">_xlfn._xlws.FILTER(Rutas,_xlfn._xlws.FILTER($B$2:$B$10000,$B$2:$B$10000&lt;&gt;"")=VALUE(INDEX(IdClientes,MATCH(FM2,Clientes,0))))</f>
        <v>#VALUE!</v>
      </c>
      <c r="FN3" s="28" t="e" cm="1" vm="1">
        <f t="array" ref="FN3">_xlfn._xlws.FILTER(Rutas,_xlfn._xlws.FILTER($B$2:$B$10000,$B$2:$B$10000&lt;&gt;"")=VALUE(INDEX(IdClientes,MATCH(FN2,Clientes,0))))</f>
        <v>#VALUE!</v>
      </c>
      <c r="FO3" s="28" t="e" cm="1" vm="1">
        <f t="array" ref="FO3">_xlfn._xlws.FILTER(Rutas,_xlfn._xlws.FILTER($B$2:$B$10000,$B$2:$B$10000&lt;&gt;"")=VALUE(INDEX(IdClientes,MATCH(FO2,Clientes,0))))</f>
        <v>#VALUE!</v>
      </c>
      <c r="FP3" s="28" t="e" cm="1" vm="1">
        <f t="array" ref="FP3">_xlfn._xlws.FILTER(Rutas,_xlfn._xlws.FILTER($B$2:$B$10000,$B$2:$B$10000&lt;&gt;"")=VALUE(INDEX(IdClientes,MATCH(FP2,Clientes,0))))</f>
        <v>#VALUE!</v>
      </c>
      <c r="FQ3" s="28" t="e" cm="1" vm="1">
        <f t="array" ref="FQ3">_xlfn._xlws.FILTER(Rutas,_xlfn._xlws.FILTER($B$2:$B$10000,$B$2:$B$10000&lt;&gt;"")=VALUE(INDEX(IdClientes,MATCH(FQ2,Clientes,0))))</f>
        <v>#VALUE!</v>
      </c>
      <c r="FR3" s="28" t="e" cm="1" vm="1">
        <f t="array" ref="FR3">_xlfn._xlws.FILTER(Rutas,_xlfn._xlws.FILTER($B$2:$B$10000,$B$2:$B$10000&lt;&gt;"")=VALUE(INDEX(IdClientes,MATCH(FR2,Clientes,0))))</f>
        <v>#VALUE!</v>
      </c>
      <c r="FS3" s="28" t="e" cm="1" vm="1">
        <f t="array" ref="FS3">_xlfn._xlws.FILTER(Rutas,_xlfn._xlws.FILTER($B$2:$B$10000,$B$2:$B$10000&lt;&gt;"")=VALUE(INDEX(IdClientes,MATCH(FS2,Clientes,0))))</f>
        <v>#VALUE!</v>
      </c>
      <c r="FT3" s="28" t="e" cm="1" vm="1">
        <f t="array" ref="FT3">_xlfn._xlws.FILTER(Rutas,_xlfn._xlws.FILTER($B$2:$B$10000,$B$2:$B$10000&lt;&gt;"")=VALUE(INDEX(IdClientes,MATCH(FT2,Clientes,0))))</f>
        <v>#VALUE!</v>
      </c>
      <c r="FU3" s="28" t="e" cm="1" vm="1">
        <f t="array" ref="FU3">_xlfn._xlws.FILTER(Rutas,_xlfn._xlws.FILTER($B$2:$B$10000,$B$2:$B$10000&lt;&gt;"")=VALUE(INDEX(IdClientes,MATCH(FU2,Clientes,0))))</f>
        <v>#VALUE!</v>
      </c>
      <c r="FV3" s="28" t="e" cm="1" vm="1">
        <f t="array" ref="FV3">_xlfn._xlws.FILTER(Rutas,_xlfn._xlws.FILTER($B$2:$B$10000,$B$2:$B$10000&lt;&gt;"")=VALUE(INDEX(IdClientes,MATCH(FV2,Clientes,0))))</f>
        <v>#VALUE!</v>
      </c>
      <c r="FW3" s="28" t="e" cm="1" vm="1">
        <f t="array" ref="FW3">_xlfn._xlws.FILTER(Rutas,_xlfn._xlws.FILTER($B$2:$B$10000,$B$2:$B$10000&lt;&gt;"")=VALUE(INDEX(IdClientes,MATCH(FW2,Clientes,0))))</f>
        <v>#VALUE!</v>
      </c>
      <c r="FX3" s="28" t="e" cm="1" vm="1">
        <f t="array" ref="FX3">_xlfn._xlws.FILTER(Rutas,_xlfn._xlws.FILTER($B$2:$B$10000,$B$2:$B$10000&lt;&gt;"")=VALUE(INDEX(IdClientes,MATCH(FX2,Clientes,0))))</f>
        <v>#VALUE!</v>
      </c>
      <c r="FY3" s="28" t="e" cm="1" vm="1">
        <f t="array" ref="FY3">_xlfn._xlws.FILTER(Rutas,_xlfn._xlws.FILTER($B$2:$B$10000,$B$2:$B$10000&lt;&gt;"")=VALUE(INDEX(IdClientes,MATCH(FY2,Clientes,0))))</f>
        <v>#VALUE!</v>
      </c>
      <c r="FZ3" s="28" t="e" cm="1" vm="1">
        <f t="array" ref="FZ3">_xlfn._xlws.FILTER(Rutas,_xlfn._xlws.FILTER($B$2:$B$10000,$B$2:$B$10000&lt;&gt;"")=VALUE(INDEX(IdClientes,MATCH(FZ2,Clientes,0))))</f>
        <v>#VALUE!</v>
      </c>
      <c r="GA3" s="28" t="e" cm="1" vm="1">
        <f t="array" ref="GA3">_xlfn._xlws.FILTER(Rutas,_xlfn._xlws.FILTER($B$2:$B$10000,$B$2:$B$10000&lt;&gt;"")=VALUE(INDEX(IdClientes,MATCH(GA2,Clientes,0))))</f>
        <v>#VALUE!</v>
      </c>
      <c r="GB3" s="28" t="e" cm="1" vm="1">
        <f t="array" ref="GB3">_xlfn._xlws.FILTER(Rutas,_xlfn._xlws.FILTER($B$2:$B$10000,$B$2:$B$10000&lt;&gt;"")=VALUE(INDEX(IdClientes,MATCH(GB2,Clientes,0))))</f>
        <v>#VALUE!</v>
      </c>
      <c r="GC3" s="28" t="e" cm="1" vm="1">
        <f t="array" ref="GC3">_xlfn._xlws.FILTER(Rutas,_xlfn._xlws.FILTER($B$2:$B$10000,$B$2:$B$10000&lt;&gt;"")=VALUE(INDEX(IdClientes,MATCH(GC2,Clientes,0))))</f>
        <v>#VALUE!</v>
      </c>
      <c r="GD3" s="28" t="e" cm="1" vm="1">
        <f t="array" ref="GD3">_xlfn._xlws.FILTER(Rutas,_xlfn._xlws.FILTER($B$2:$B$10000,$B$2:$B$10000&lt;&gt;"")=VALUE(INDEX(IdClientes,MATCH(GD2,Clientes,0))))</f>
        <v>#VALUE!</v>
      </c>
      <c r="GE3" s="28" t="e" cm="1" vm="1">
        <f t="array" ref="GE3">_xlfn._xlws.FILTER(Rutas,_xlfn._xlws.FILTER($B$2:$B$10000,$B$2:$B$10000&lt;&gt;"")=VALUE(INDEX(IdClientes,MATCH(GE2,Clientes,0))))</f>
        <v>#VALUE!</v>
      </c>
      <c r="GF3" s="28" t="e" cm="1" vm="1">
        <f t="array" ref="GF3">_xlfn._xlws.FILTER(Rutas,_xlfn._xlws.FILTER($B$2:$B$10000,$B$2:$B$10000&lt;&gt;"")=VALUE(INDEX(IdClientes,MATCH(GF2,Clientes,0))))</f>
        <v>#VALUE!</v>
      </c>
      <c r="GG3" s="28" t="e" cm="1" vm="1">
        <f t="array" ref="GG3">_xlfn._xlws.FILTER(Rutas,_xlfn._xlws.FILTER($B$2:$B$10000,$B$2:$B$10000&lt;&gt;"")=VALUE(INDEX(IdClientes,MATCH(GG2,Clientes,0))))</f>
        <v>#VALUE!</v>
      </c>
      <c r="GH3" s="28" t="e" cm="1" vm="1">
        <f t="array" ref="GH3">_xlfn._xlws.FILTER(Rutas,_xlfn._xlws.FILTER($B$2:$B$10000,$B$2:$B$10000&lt;&gt;"")=VALUE(INDEX(IdClientes,MATCH(GH2,Clientes,0))))</f>
        <v>#VALUE!</v>
      </c>
      <c r="GI3" s="28" t="e" cm="1" vm="1">
        <f t="array" ref="GI3">_xlfn._xlws.FILTER(Rutas,_xlfn._xlws.FILTER($B$2:$B$10000,$B$2:$B$10000&lt;&gt;"")=VALUE(INDEX(IdClientes,MATCH(GI2,Clientes,0))))</f>
        <v>#VALUE!</v>
      </c>
      <c r="GJ3" s="28" t="e" cm="1" vm="1">
        <f t="array" ref="GJ3">_xlfn._xlws.FILTER(Rutas,_xlfn._xlws.FILTER($B$2:$B$10000,$B$2:$B$10000&lt;&gt;"")=VALUE(INDEX(IdClientes,MATCH(GJ2,Clientes,0))))</f>
        <v>#VALUE!</v>
      </c>
      <c r="GK3" s="28" t="e" cm="1" vm="1">
        <f t="array" ref="GK3">_xlfn._xlws.FILTER(Rutas,_xlfn._xlws.FILTER($B$2:$B$10000,$B$2:$B$10000&lt;&gt;"")=VALUE(INDEX(IdClientes,MATCH(GK2,Clientes,0))))</f>
        <v>#VALUE!</v>
      </c>
      <c r="GL3" s="28" t="e" cm="1" vm="1">
        <f t="array" ref="GL3">_xlfn._xlws.FILTER(Rutas,_xlfn._xlws.FILTER($B$2:$B$10000,$B$2:$B$10000&lt;&gt;"")=VALUE(INDEX(IdClientes,MATCH(GL2,Clientes,0))))</f>
        <v>#VALUE!</v>
      </c>
      <c r="GM3" s="28" t="e" cm="1" vm="1">
        <f t="array" ref="GM3">_xlfn._xlws.FILTER(Rutas,_xlfn._xlws.FILTER($B$2:$B$10000,$B$2:$B$10000&lt;&gt;"")=VALUE(INDEX(IdClientes,MATCH(GM2,Clientes,0))))</f>
        <v>#VALUE!</v>
      </c>
      <c r="GN3" s="28" t="e" cm="1" vm="1">
        <f t="array" ref="GN3">_xlfn._xlws.FILTER(Rutas,_xlfn._xlws.FILTER($B$2:$B$10000,$B$2:$B$10000&lt;&gt;"")=VALUE(INDEX(IdClientes,MATCH(GN2,Clientes,0))))</f>
        <v>#VALUE!</v>
      </c>
      <c r="GO3" s="28" t="e" cm="1" vm="1">
        <f t="array" ref="GO3">_xlfn._xlws.FILTER(Rutas,_xlfn._xlws.FILTER($B$2:$B$10000,$B$2:$B$10000&lt;&gt;"")=VALUE(INDEX(IdClientes,MATCH(GO2,Clientes,0))))</f>
        <v>#VALUE!</v>
      </c>
      <c r="GP3" s="28" t="e" cm="1" vm="1">
        <f t="array" ref="GP3">_xlfn._xlws.FILTER(Rutas,_xlfn._xlws.FILTER($B$2:$B$10000,$B$2:$B$10000&lt;&gt;"")=VALUE(INDEX(IdClientes,MATCH(GP2,Clientes,0))))</f>
        <v>#VALUE!</v>
      </c>
      <c r="GQ3" s="28" t="e" cm="1" vm="1">
        <f t="array" ref="GQ3">_xlfn._xlws.FILTER(Rutas,_xlfn._xlws.FILTER($B$2:$B$10000,$B$2:$B$10000&lt;&gt;"")=VALUE(INDEX(IdClientes,MATCH(GQ2,Clientes,0))))</f>
        <v>#VALUE!</v>
      </c>
      <c r="GR3" s="28" t="e" cm="1" vm="1">
        <f t="array" ref="GR3">_xlfn._xlws.FILTER(Rutas,_xlfn._xlws.FILTER($B$2:$B$10000,$B$2:$B$10000&lt;&gt;"")=VALUE(INDEX(IdClientes,MATCH(GR2,Clientes,0))))</f>
        <v>#VALUE!</v>
      </c>
      <c r="GS3" s="28" t="e" cm="1" vm="1">
        <f t="array" ref="GS3">_xlfn._xlws.FILTER(Rutas,_xlfn._xlws.FILTER($B$2:$B$10000,$B$2:$B$10000&lt;&gt;"")=VALUE(INDEX(IdClientes,MATCH(GS2,Clientes,0))))</f>
        <v>#VALUE!</v>
      </c>
      <c r="GT3" s="28" t="e" cm="1" vm="1">
        <f t="array" ref="GT3">_xlfn._xlws.FILTER(Rutas,_xlfn._xlws.FILTER($B$2:$B$10000,$B$2:$B$10000&lt;&gt;"")=VALUE(INDEX(IdClientes,MATCH(GT2,Clientes,0))))</f>
        <v>#VALUE!</v>
      </c>
      <c r="GU3" s="28" t="e" cm="1" vm="1">
        <f t="array" ref="GU3">_xlfn._xlws.FILTER(Rutas,_xlfn._xlws.FILTER($B$2:$B$10000,$B$2:$B$10000&lt;&gt;"")=VALUE(INDEX(IdClientes,MATCH(GU2,Clientes,0))))</f>
        <v>#VALUE!</v>
      </c>
      <c r="GV3" s="28" t="e" cm="1" vm="1">
        <f t="array" ref="GV3">_xlfn._xlws.FILTER(Rutas,_xlfn._xlws.FILTER($B$2:$B$10000,$B$2:$B$10000&lt;&gt;"")=VALUE(INDEX(IdClientes,MATCH(GV2,Clientes,0))))</f>
        <v>#VALUE!</v>
      </c>
      <c r="GW3" s="28" t="e" cm="1" vm="1">
        <f t="array" ref="GW3">_xlfn._xlws.FILTER(Rutas,_xlfn._xlws.FILTER($B$2:$B$10000,$B$2:$B$10000&lt;&gt;"")=VALUE(INDEX(IdClientes,MATCH(GW2,Clientes,0))))</f>
        <v>#VALUE!</v>
      </c>
      <c r="GX3" s="28" t="e" cm="1" vm="1">
        <f t="array" ref="GX3">_xlfn._xlws.FILTER(Rutas,_xlfn._xlws.FILTER($B$2:$B$10000,$B$2:$B$10000&lt;&gt;"")=VALUE(INDEX(IdClientes,MATCH(GX2,Clientes,0))))</f>
        <v>#VALUE!</v>
      </c>
      <c r="GY3" s="28" t="e" cm="1" vm="1">
        <f t="array" ref="GY3">_xlfn._xlws.FILTER(Rutas,_xlfn._xlws.FILTER($B$2:$B$10000,$B$2:$B$10000&lt;&gt;"")=VALUE(INDEX(IdClientes,MATCH(GY2,Clientes,0))))</f>
        <v>#VALUE!</v>
      </c>
      <c r="GZ3" s="28" t="e" cm="1" vm="1">
        <f t="array" ref="GZ3">_xlfn._xlws.FILTER(Rutas,_xlfn._xlws.FILTER($B$2:$B$10000,$B$2:$B$10000&lt;&gt;"")=VALUE(INDEX(IdClientes,MATCH(GZ2,Clientes,0))))</f>
        <v>#VALUE!</v>
      </c>
      <c r="HA3" s="28" t="e" cm="1" vm="1">
        <f t="array" ref="HA3">_xlfn._xlws.FILTER(Rutas,_xlfn._xlws.FILTER($B$2:$B$10000,$B$2:$B$10000&lt;&gt;"")=VALUE(INDEX(IdClientes,MATCH(HA2,Clientes,0))))</f>
        <v>#VALUE!</v>
      </c>
      <c r="HB3" s="28" t="e" cm="1" vm="1">
        <f t="array" ref="HB3">_xlfn._xlws.FILTER(Rutas,_xlfn._xlws.FILTER($B$2:$B$10000,$B$2:$B$10000&lt;&gt;"")=VALUE(INDEX(IdClientes,MATCH(HB2,Clientes,0))))</f>
        <v>#VALUE!</v>
      </c>
      <c r="HC3" s="28" t="e" cm="1" vm="1">
        <f t="array" ref="HC3">_xlfn._xlws.FILTER(Rutas,_xlfn._xlws.FILTER($B$2:$B$10000,$B$2:$B$10000&lt;&gt;"")=VALUE(INDEX(IdClientes,MATCH(HC2,Clientes,0))))</f>
        <v>#VALUE!</v>
      </c>
      <c r="HD3" s="28" t="e" cm="1" vm="1">
        <f t="array" ref="HD3">_xlfn._xlws.FILTER(Rutas,_xlfn._xlws.FILTER($B$2:$B$10000,$B$2:$B$10000&lt;&gt;"")=VALUE(INDEX(IdClientes,MATCH(HD2,Clientes,0))))</f>
        <v>#VALUE!</v>
      </c>
      <c r="HE3" s="28" t="e" cm="1" vm="1">
        <f t="array" ref="HE3">_xlfn._xlws.FILTER(Rutas,_xlfn._xlws.FILTER($B$2:$B$10000,$B$2:$B$10000&lt;&gt;"")=VALUE(INDEX(IdClientes,MATCH(HE2,Clientes,0))))</f>
        <v>#VALUE!</v>
      </c>
      <c r="HF3" s="28" t="e" cm="1" vm="1">
        <f t="array" ref="HF3">_xlfn._xlws.FILTER(Rutas,_xlfn._xlws.FILTER($B$2:$B$10000,$B$2:$B$10000&lt;&gt;"")=VALUE(INDEX(IdClientes,MATCH(HF2,Clientes,0))))</f>
        <v>#VALUE!</v>
      </c>
      <c r="HG3" s="28" t="e" cm="1" vm="1">
        <f t="array" ref="HG3">_xlfn._xlws.FILTER(Rutas,_xlfn._xlws.FILTER($B$2:$B$10000,$B$2:$B$10000&lt;&gt;"")=VALUE(INDEX(IdClientes,MATCH(HG2,Clientes,0))))</f>
        <v>#VALUE!</v>
      </c>
      <c r="HH3" s="28" t="e" cm="1" vm="1">
        <f t="array" ref="HH3">_xlfn._xlws.FILTER(Rutas,_xlfn._xlws.FILTER($B$2:$B$10000,$B$2:$B$10000&lt;&gt;"")=VALUE(INDEX(IdClientes,MATCH(HH2,Clientes,0))))</f>
        <v>#VALUE!</v>
      </c>
      <c r="HI3" s="28" t="e" cm="1" vm="1">
        <f t="array" ref="HI3">_xlfn._xlws.FILTER(Rutas,_xlfn._xlws.FILTER($B$2:$B$10000,$B$2:$B$10000&lt;&gt;"")=VALUE(INDEX(IdClientes,MATCH(HI2,Clientes,0))))</f>
        <v>#VALUE!</v>
      </c>
      <c r="HJ3" s="28" t="e" cm="1" vm="1">
        <f t="array" ref="HJ3">_xlfn._xlws.FILTER(Rutas,_xlfn._xlws.FILTER($B$2:$B$10000,$B$2:$B$10000&lt;&gt;"")=VALUE(INDEX(IdClientes,MATCH(HJ2,Clientes,0))))</f>
        <v>#VALUE!</v>
      </c>
      <c r="HK3" s="28" t="e" cm="1" vm="1">
        <f t="array" ref="HK3">_xlfn._xlws.FILTER(Rutas,_xlfn._xlws.FILTER($B$2:$B$10000,$B$2:$B$10000&lt;&gt;"")=VALUE(INDEX(IdClientes,MATCH(HK2,Clientes,0))))</f>
        <v>#VALUE!</v>
      </c>
      <c r="HL3" s="28" t="e" cm="1" vm="1">
        <f t="array" ref="HL3">_xlfn._xlws.FILTER(Rutas,_xlfn._xlws.FILTER($B$2:$B$10000,$B$2:$B$10000&lt;&gt;"")=VALUE(INDEX(IdClientes,MATCH(HL2,Clientes,0))))</f>
        <v>#VALUE!</v>
      </c>
      <c r="HM3" s="28" t="e" cm="1" vm="1">
        <f t="array" ref="HM3">_xlfn._xlws.FILTER(Rutas,_xlfn._xlws.FILTER($B$2:$B$10000,$B$2:$B$10000&lt;&gt;"")=VALUE(INDEX(IdClientes,MATCH(HM2,Clientes,0))))</f>
        <v>#VALUE!</v>
      </c>
      <c r="HN3" s="28" t="e" cm="1" vm="1">
        <f t="array" ref="HN3">_xlfn._xlws.FILTER(Rutas,_xlfn._xlws.FILTER($B$2:$B$10000,$B$2:$B$10000&lt;&gt;"")=VALUE(INDEX(IdClientes,MATCH(HN2,Clientes,0))))</f>
        <v>#VALUE!</v>
      </c>
      <c r="HO3" s="28" t="e" cm="1" vm="1">
        <f t="array" ref="HO3">_xlfn._xlws.FILTER(Rutas,_xlfn._xlws.FILTER($B$2:$B$10000,$B$2:$B$10000&lt;&gt;"")=VALUE(INDEX(IdClientes,MATCH(HO2,Clientes,0))))</f>
        <v>#VALUE!</v>
      </c>
      <c r="HP3" s="28" t="e" cm="1" vm="1">
        <f t="array" ref="HP3">_xlfn._xlws.FILTER(Rutas,_xlfn._xlws.FILTER($B$2:$B$10000,$B$2:$B$10000&lt;&gt;"")=VALUE(INDEX(IdClientes,MATCH(HP2,Clientes,0))))</f>
        <v>#VALUE!</v>
      </c>
      <c r="HQ3" s="28" t="e" cm="1" vm="1">
        <f t="array" ref="HQ3">_xlfn._xlws.FILTER(Rutas,_xlfn._xlws.FILTER($B$2:$B$10000,$B$2:$B$10000&lt;&gt;"")=VALUE(INDEX(IdClientes,MATCH(HQ2,Clientes,0))))</f>
        <v>#VALUE!</v>
      </c>
      <c r="HR3" s="28" t="e" cm="1" vm="1">
        <f t="array" ref="HR3">_xlfn._xlws.FILTER(Rutas,_xlfn._xlws.FILTER($B$2:$B$10000,$B$2:$B$10000&lt;&gt;"")=VALUE(INDEX(IdClientes,MATCH(HR2,Clientes,0))))</f>
        <v>#VALUE!</v>
      </c>
      <c r="HS3" s="28" t="e" cm="1" vm="1">
        <f t="array" ref="HS3">_xlfn._xlws.FILTER(Rutas,_xlfn._xlws.FILTER($B$2:$B$10000,$B$2:$B$10000&lt;&gt;"")=VALUE(INDEX(IdClientes,MATCH(HS2,Clientes,0))))</f>
        <v>#VALUE!</v>
      </c>
      <c r="HT3" s="28" t="e" cm="1" vm="1">
        <f t="array" ref="HT3">_xlfn._xlws.FILTER(Rutas,_xlfn._xlws.FILTER($B$2:$B$10000,$B$2:$B$10000&lt;&gt;"")=VALUE(INDEX(IdClientes,MATCH(HT2,Clientes,0))))</f>
        <v>#VALUE!</v>
      </c>
      <c r="HU3" s="28" t="e" cm="1" vm="1">
        <f t="array" ref="HU3">_xlfn._xlws.FILTER(Rutas,_xlfn._xlws.FILTER($B$2:$B$10000,$B$2:$B$10000&lt;&gt;"")=VALUE(INDEX(IdClientes,MATCH(HU2,Clientes,0))))</f>
        <v>#VALUE!</v>
      </c>
      <c r="HV3" s="28" t="e" cm="1" vm="1">
        <f t="array" ref="HV3">_xlfn._xlws.FILTER(Rutas,_xlfn._xlws.FILTER($B$2:$B$10000,$B$2:$B$10000&lt;&gt;"")=VALUE(INDEX(IdClientes,MATCH(HV2,Clientes,0))))</f>
        <v>#VALUE!</v>
      </c>
      <c r="HW3" s="28" t="e" cm="1" vm="1">
        <f t="array" ref="HW3">_xlfn._xlws.FILTER(Rutas,_xlfn._xlws.FILTER($B$2:$B$10000,$B$2:$B$10000&lt;&gt;"")=VALUE(INDEX(IdClientes,MATCH(HW2,Clientes,0))))</f>
        <v>#VALUE!</v>
      </c>
      <c r="HX3" s="28" t="e" cm="1" vm="1">
        <f t="array" ref="HX3">_xlfn._xlws.FILTER(Rutas,_xlfn._xlws.FILTER($B$2:$B$10000,$B$2:$B$10000&lt;&gt;"")=VALUE(INDEX(IdClientes,MATCH(HX2,Clientes,0))))</f>
        <v>#VALUE!</v>
      </c>
      <c r="HY3" s="28" t="e" cm="1" vm="1">
        <f t="array" ref="HY3">_xlfn._xlws.FILTER(Rutas,_xlfn._xlws.FILTER($B$2:$B$10000,$B$2:$B$10000&lt;&gt;"")=VALUE(INDEX(IdClientes,MATCH(HY2,Clientes,0))))</f>
        <v>#VALUE!</v>
      </c>
      <c r="HZ3" s="28" t="e" cm="1" vm="1">
        <f t="array" ref="HZ3">_xlfn._xlws.FILTER(Rutas,_xlfn._xlws.FILTER($B$2:$B$10000,$B$2:$B$10000&lt;&gt;"")=VALUE(INDEX(IdClientes,MATCH(HZ2,Clientes,0))))</f>
        <v>#VALUE!</v>
      </c>
      <c r="IA3" s="28" t="e" cm="1" vm="1">
        <f t="array" ref="IA3">_xlfn._xlws.FILTER(Rutas,_xlfn._xlws.FILTER($B$2:$B$10000,$B$2:$B$10000&lt;&gt;"")=VALUE(INDEX(IdClientes,MATCH(IA2,Clientes,0))))</f>
        <v>#VALUE!</v>
      </c>
      <c r="IB3" s="28" t="e" cm="1" vm="1">
        <f t="array" ref="IB3">_xlfn._xlws.FILTER(Rutas,_xlfn._xlws.FILTER($B$2:$B$10000,$B$2:$B$10000&lt;&gt;"")=VALUE(INDEX(IdClientes,MATCH(IB2,Clientes,0))))</f>
        <v>#VALUE!</v>
      </c>
      <c r="IC3" s="28" t="e" cm="1" vm="1">
        <f t="array" ref="IC3">_xlfn._xlws.FILTER(Rutas,_xlfn._xlws.FILTER($B$2:$B$10000,$B$2:$B$10000&lt;&gt;"")=VALUE(INDEX(IdClientes,MATCH(IC2,Clientes,0))))</f>
        <v>#VALUE!</v>
      </c>
      <c r="ID3" s="28" t="e" cm="1" vm="1">
        <f t="array" ref="ID3">_xlfn._xlws.FILTER(Rutas,_xlfn._xlws.FILTER($B$2:$B$10000,$B$2:$B$10000&lt;&gt;"")=VALUE(INDEX(IdClientes,MATCH(ID2,Clientes,0))))</f>
        <v>#VALUE!</v>
      </c>
      <c r="IE3" s="28" t="e" cm="1" vm="1">
        <f t="array" ref="IE3">_xlfn._xlws.FILTER(Rutas,_xlfn._xlws.FILTER($B$2:$B$10000,$B$2:$B$10000&lt;&gt;"")=VALUE(INDEX(IdClientes,MATCH(IE2,Clientes,0))))</f>
        <v>#VALUE!</v>
      </c>
      <c r="IF3" s="28" t="e" cm="1" vm="1">
        <f t="array" ref="IF3">_xlfn._xlws.FILTER(Rutas,_xlfn._xlws.FILTER($B$2:$B$10000,$B$2:$B$10000&lt;&gt;"")=VALUE(INDEX(IdClientes,MATCH(IF2,Clientes,0))))</f>
        <v>#VALUE!</v>
      </c>
      <c r="IG3" s="28" t="e" cm="1" vm="1">
        <f t="array" ref="IG3">_xlfn._xlws.FILTER(Rutas,_xlfn._xlws.FILTER($B$2:$B$10000,$B$2:$B$10000&lt;&gt;"")=VALUE(INDEX(IdClientes,MATCH(IG2,Clientes,0))))</f>
        <v>#VALUE!</v>
      </c>
      <c r="IH3" s="28" t="e" cm="1" vm="1">
        <f t="array" ref="IH3">_xlfn._xlws.FILTER(Rutas,_xlfn._xlws.FILTER($B$2:$B$10000,$B$2:$B$10000&lt;&gt;"")=VALUE(INDEX(IdClientes,MATCH(IH2,Clientes,0))))</f>
        <v>#VALUE!</v>
      </c>
      <c r="II3" s="28" t="e" cm="1" vm="1">
        <f t="array" ref="II3">_xlfn._xlws.FILTER(Rutas,_xlfn._xlws.FILTER($B$2:$B$10000,$B$2:$B$10000&lt;&gt;"")=VALUE(INDEX(IdClientes,MATCH(II2,Clientes,0))))</f>
        <v>#VALUE!</v>
      </c>
      <c r="IJ3" s="28" t="e" cm="1" vm="1">
        <f t="array" ref="IJ3">_xlfn._xlws.FILTER(Rutas,_xlfn._xlws.FILTER($B$2:$B$10000,$B$2:$B$10000&lt;&gt;"")=VALUE(INDEX(IdClientes,MATCH(IJ2,Clientes,0))))</f>
        <v>#VALUE!</v>
      </c>
      <c r="IK3" s="28" t="e" cm="1" vm="1">
        <f t="array" ref="IK3">_xlfn._xlws.FILTER(Rutas,_xlfn._xlws.FILTER($B$2:$B$10000,$B$2:$B$10000&lt;&gt;"")=VALUE(INDEX(IdClientes,MATCH(IK2,Clientes,0))))</f>
        <v>#VALUE!</v>
      </c>
      <c r="IL3" s="28" t="e" cm="1" vm="1">
        <f t="array" ref="IL3">_xlfn._xlws.FILTER(Rutas,_xlfn._xlws.FILTER($B$2:$B$10000,$B$2:$B$10000&lt;&gt;"")=VALUE(INDEX(IdClientes,MATCH(IL2,Clientes,0))))</f>
        <v>#VALUE!</v>
      </c>
      <c r="IM3" s="28" t="e" cm="1" vm="1">
        <f t="array" ref="IM3">_xlfn._xlws.FILTER(Rutas,_xlfn._xlws.FILTER($B$2:$B$10000,$B$2:$B$10000&lt;&gt;"")=VALUE(INDEX(IdClientes,MATCH(IM2,Clientes,0))))</f>
        <v>#VALUE!</v>
      </c>
      <c r="IN3" s="28" t="e" cm="1" vm="1">
        <f t="array" ref="IN3">_xlfn._xlws.FILTER(Rutas,_xlfn._xlws.FILTER($B$2:$B$10000,$B$2:$B$10000&lt;&gt;"")=VALUE(INDEX(IdClientes,MATCH(IN2,Clientes,0))))</f>
        <v>#VALUE!</v>
      </c>
      <c r="IO3" s="28" t="e" cm="1" vm="1">
        <f t="array" ref="IO3">_xlfn._xlws.FILTER(Rutas,_xlfn._xlws.FILTER($B$2:$B$10000,$B$2:$B$10000&lt;&gt;"")=VALUE(INDEX(IdClientes,MATCH(IO2,Clientes,0))))</f>
        <v>#VALUE!</v>
      </c>
      <c r="IP3" s="28" t="e" cm="1" vm="1">
        <f t="array" ref="IP3">_xlfn._xlws.FILTER(Rutas,_xlfn._xlws.FILTER($B$2:$B$10000,$B$2:$B$10000&lt;&gt;"")=VALUE(INDEX(IdClientes,MATCH(IP2,Clientes,0))))</f>
        <v>#VALUE!</v>
      </c>
      <c r="IQ3" s="28" t="e" cm="1" vm="1">
        <f t="array" ref="IQ3">_xlfn._xlws.FILTER(Rutas,_xlfn._xlws.FILTER($B$2:$B$10000,$B$2:$B$10000&lt;&gt;"")=VALUE(INDEX(IdClientes,MATCH(IQ2,Clientes,0))))</f>
        <v>#VALUE!</v>
      </c>
      <c r="IR3" s="28" t="e" cm="1" vm="1">
        <f t="array" ref="IR3">_xlfn._xlws.FILTER(Rutas,_xlfn._xlws.FILTER($B$2:$B$10000,$B$2:$B$10000&lt;&gt;"")=VALUE(INDEX(IdClientes,MATCH(IR2,Clientes,0))))</f>
        <v>#VALUE!</v>
      </c>
      <c r="IS3" s="28" t="e" cm="1" vm="1">
        <f t="array" ref="IS3">_xlfn._xlws.FILTER(Rutas,_xlfn._xlws.FILTER($B$2:$B$10000,$B$2:$B$10000&lt;&gt;"")=VALUE(INDEX(IdClientes,MATCH(IS2,Clientes,0))))</f>
        <v>#VALUE!</v>
      </c>
      <c r="IT3" s="28" t="e" cm="1" vm="1">
        <f t="array" ref="IT3">_xlfn._xlws.FILTER(Rutas,_xlfn._xlws.FILTER($B$2:$B$10000,$B$2:$B$10000&lt;&gt;"")=VALUE(INDEX(IdClientes,MATCH(IT2,Clientes,0))))</f>
        <v>#VALUE!</v>
      </c>
      <c r="IU3" s="28" t="e" cm="1" vm="1">
        <f t="array" ref="IU3">_xlfn._xlws.FILTER(Rutas,_xlfn._xlws.FILTER($B$2:$B$10000,$B$2:$B$10000&lt;&gt;"")=VALUE(INDEX(IdClientes,MATCH(IU2,Clientes,0))))</f>
        <v>#VALUE!</v>
      </c>
      <c r="IV3" s="28" t="e" cm="1" vm="1">
        <f t="array" ref="IV3">_xlfn._xlws.FILTER(Rutas,_xlfn._xlws.FILTER($B$2:$B$10000,$B$2:$B$10000&lt;&gt;"")=VALUE(INDEX(IdClientes,MATCH(IV2,Clientes,0))))</f>
        <v>#VALUE!</v>
      </c>
      <c r="IW3" s="28" t="e" cm="1" vm="1">
        <f t="array" ref="IW3">_xlfn._xlws.FILTER(Rutas,_xlfn._xlws.FILTER($B$2:$B$10000,$B$2:$B$10000&lt;&gt;"")=VALUE(INDEX(IdClientes,MATCH(IW2,Clientes,0))))</f>
        <v>#VALUE!</v>
      </c>
      <c r="IX3" s="28" t="e" cm="1" vm="1">
        <f t="array" ref="IX3">_xlfn._xlws.FILTER(Rutas,_xlfn._xlws.FILTER($B$2:$B$10000,$B$2:$B$10000&lt;&gt;"")=VALUE(INDEX(IdClientes,MATCH(IX2,Clientes,0))))</f>
        <v>#VALUE!</v>
      </c>
      <c r="IY3" s="28" t="e" cm="1" vm="1">
        <f t="array" ref="IY3">_xlfn._xlws.FILTER(Rutas,_xlfn._xlws.FILTER($B$2:$B$10000,$B$2:$B$10000&lt;&gt;"")=VALUE(INDEX(IdClientes,MATCH(IY2,Clientes,0))))</f>
        <v>#VALUE!</v>
      </c>
      <c r="IZ3" s="28" t="e" cm="1" vm="1">
        <f t="array" ref="IZ3">_xlfn._xlws.FILTER(Rutas,_xlfn._xlws.FILTER($B$2:$B$10000,$B$2:$B$10000&lt;&gt;"")=VALUE(INDEX(IdClientes,MATCH(IZ2,Clientes,0))))</f>
        <v>#VALUE!</v>
      </c>
      <c r="JA3" s="28" t="e" cm="1" vm="1">
        <f t="array" ref="JA3">_xlfn._xlws.FILTER(Rutas,_xlfn._xlws.FILTER($B$2:$B$10000,$B$2:$B$10000&lt;&gt;"")=VALUE(INDEX(IdClientes,MATCH(JA2,Clientes,0))))</f>
        <v>#VALUE!</v>
      </c>
      <c r="JB3" s="28" t="e" cm="1" vm="1">
        <f t="array" ref="JB3">_xlfn._xlws.FILTER(Rutas,_xlfn._xlws.FILTER($B$2:$B$10000,$B$2:$B$10000&lt;&gt;"")=VALUE(INDEX(IdClientes,MATCH(JB2,Clientes,0))))</f>
        <v>#VALUE!</v>
      </c>
      <c r="JC3" s="28" t="e" cm="1" vm="1">
        <f t="array" ref="JC3">_xlfn._xlws.FILTER(Rutas,_xlfn._xlws.FILTER($B$2:$B$10000,$B$2:$B$10000&lt;&gt;"")=VALUE(INDEX(IdClientes,MATCH(JC2,Clientes,0))))</f>
        <v>#VALUE!</v>
      </c>
      <c r="JD3" s="28" t="e" cm="1" vm="1">
        <f t="array" ref="JD3">_xlfn._xlws.FILTER(Rutas,_xlfn._xlws.FILTER($B$2:$B$10000,$B$2:$B$10000&lt;&gt;"")=VALUE(INDEX(IdClientes,MATCH(JD2,Clientes,0))))</f>
        <v>#VALUE!</v>
      </c>
      <c r="JE3" s="28" t="e" cm="1" vm="1">
        <f t="array" ref="JE3">_xlfn._xlws.FILTER(Rutas,_xlfn._xlws.FILTER($B$2:$B$10000,$B$2:$B$10000&lt;&gt;"")=VALUE(INDEX(IdClientes,MATCH(JE2,Clientes,0))))</f>
        <v>#VALUE!</v>
      </c>
      <c r="JF3" s="28" t="e" cm="1" vm="1">
        <f t="array" ref="JF3">_xlfn._xlws.FILTER(Rutas,_xlfn._xlws.FILTER($B$2:$B$10000,$B$2:$B$10000&lt;&gt;"")=VALUE(INDEX(IdClientes,MATCH(JF2,Clientes,0))))</f>
        <v>#VALUE!</v>
      </c>
      <c r="JG3" s="28" t="e" cm="1" vm="1">
        <f t="array" ref="JG3">_xlfn._xlws.FILTER(Rutas,_xlfn._xlws.FILTER($B$2:$B$10000,$B$2:$B$10000&lt;&gt;"")=VALUE(INDEX(IdClientes,MATCH(JG2,Clientes,0))))</f>
        <v>#VALUE!</v>
      </c>
      <c r="JH3" s="28" t="e" cm="1" vm="1">
        <f t="array" ref="JH3">_xlfn._xlws.FILTER(Rutas,_xlfn._xlws.FILTER($B$2:$B$10000,$B$2:$B$10000&lt;&gt;"")=VALUE(INDEX(IdClientes,MATCH(JH2,Clientes,0))))</f>
        <v>#VALUE!</v>
      </c>
      <c r="JI3" s="28" t="e" cm="1" vm="1">
        <f t="array" ref="JI3">_xlfn._xlws.FILTER(Rutas,_xlfn._xlws.FILTER($B$2:$B$10000,$B$2:$B$10000&lt;&gt;"")=VALUE(INDEX(IdClientes,MATCH(JI2,Clientes,0))))</f>
        <v>#VALUE!</v>
      </c>
      <c r="JJ3" s="28" t="e" cm="1" vm="1">
        <f t="array" ref="JJ3">_xlfn._xlws.FILTER(Rutas,_xlfn._xlws.FILTER($B$2:$B$10000,$B$2:$B$10000&lt;&gt;"")=VALUE(INDEX(IdClientes,MATCH(JJ2,Clientes,0))))</f>
        <v>#VALUE!</v>
      </c>
      <c r="JK3" s="28" t="e" cm="1" vm="1">
        <f t="array" ref="JK3">_xlfn._xlws.FILTER(Rutas,_xlfn._xlws.FILTER($B$2:$B$10000,$B$2:$B$10000&lt;&gt;"")=VALUE(INDEX(IdClientes,MATCH(JK2,Clientes,0))))</f>
        <v>#VALUE!</v>
      </c>
      <c r="JL3" s="28" t="e" cm="1" vm="1">
        <f t="array" ref="JL3">_xlfn._xlws.FILTER(Rutas,_xlfn._xlws.FILTER($B$2:$B$10000,$B$2:$B$10000&lt;&gt;"")=VALUE(INDEX(IdClientes,MATCH(JL2,Clientes,0))))</f>
        <v>#VALUE!</v>
      </c>
      <c r="JM3" s="28" t="e" cm="1" vm="1">
        <f t="array" ref="JM3">_xlfn._xlws.FILTER(Rutas,_xlfn._xlws.FILTER($B$2:$B$10000,$B$2:$B$10000&lt;&gt;"")=VALUE(INDEX(IdClientes,MATCH(JM2,Clientes,0))))</f>
        <v>#VALUE!</v>
      </c>
      <c r="JN3" s="28" t="e" cm="1" vm="1">
        <f t="array" ref="JN3">_xlfn._xlws.FILTER(Rutas,_xlfn._xlws.FILTER($B$2:$B$10000,$B$2:$B$10000&lt;&gt;"")=VALUE(INDEX(IdClientes,MATCH(JN2,Clientes,0))))</f>
        <v>#VALUE!</v>
      </c>
      <c r="JO3" s="28" t="e" cm="1" vm="1">
        <f t="array" ref="JO3">_xlfn._xlws.FILTER(Rutas,_xlfn._xlws.FILTER($B$2:$B$10000,$B$2:$B$10000&lt;&gt;"")=VALUE(INDEX(IdClientes,MATCH(JO2,Clientes,0))))</f>
        <v>#VALUE!</v>
      </c>
      <c r="JP3" s="28" t="e" cm="1" vm="1">
        <f t="array" ref="JP3">_xlfn._xlws.FILTER(Rutas,_xlfn._xlws.FILTER($B$2:$B$10000,$B$2:$B$10000&lt;&gt;"")=VALUE(INDEX(IdClientes,MATCH(JP2,Clientes,0))))</f>
        <v>#VALUE!</v>
      </c>
      <c r="JQ3" s="28" t="e" cm="1" vm="1">
        <f t="array" ref="JQ3">_xlfn._xlws.FILTER(Rutas,_xlfn._xlws.FILTER($B$2:$B$10000,$B$2:$B$10000&lt;&gt;"")=VALUE(INDEX(IdClientes,MATCH(JQ2,Clientes,0))))</f>
        <v>#VALUE!</v>
      </c>
      <c r="JR3" s="28" t="e" cm="1" vm="1">
        <f t="array" ref="JR3">_xlfn._xlws.FILTER(Rutas,_xlfn._xlws.FILTER($B$2:$B$10000,$B$2:$B$10000&lt;&gt;"")=VALUE(INDEX(IdClientes,MATCH(JR2,Clientes,0))))</f>
        <v>#VALUE!</v>
      </c>
      <c r="JS3" s="28" t="e" cm="1" vm="1">
        <f t="array" ref="JS3">_xlfn._xlws.FILTER(Rutas,_xlfn._xlws.FILTER($B$2:$B$10000,$B$2:$B$10000&lt;&gt;"")=VALUE(INDEX(IdClientes,MATCH(JS2,Clientes,0))))</f>
        <v>#VALUE!</v>
      </c>
      <c r="JT3" s="28" t="e" cm="1" vm="1">
        <f t="array" ref="JT3">_xlfn._xlws.FILTER(Rutas,_xlfn._xlws.FILTER($B$2:$B$10000,$B$2:$B$10000&lt;&gt;"")=VALUE(INDEX(IdClientes,MATCH(JT2,Clientes,0))))</f>
        <v>#VALUE!</v>
      </c>
      <c r="JU3" s="28" t="e" cm="1" vm="1">
        <f t="array" ref="JU3">_xlfn._xlws.FILTER(Rutas,_xlfn._xlws.FILTER($B$2:$B$10000,$B$2:$B$10000&lt;&gt;"")=VALUE(INDEX(IdClientes,MATCH(JU2,Clientes,0))))</f>
        <v>#VALUE!</v>
      </c>
      <c r="JV3" s="28" t="e" cm="1" vm="1">
        <f t="array" ref="JV3">_xlfn._xlws.FILTER(Rutas,_xlfn._xlws.FILTER($B$2:$B$10000,$B$2:$B$10000&lt;&gt;"")=VALUE(INDEX(IdClientes,MATCH(JV2,Clientes,0))))</f>
        <v>#VALUE!</v>
      </c>
      <c r="JW3" s="28" t="e" cm="1" vm="1">
        <f t="array" ref="JW3">_xlfn._xlws.FILTER(Rutas,_xlfn._xlws.FILTER($B$2:$B$10000,$B$2:$B$10000&lt;&gt;"")=VALUE(INDEX(IdClientes,MATCH(JW2,Clientes,0))))</f>
        <v>#VALUE!</v>
      </c>
      <c r="JX3" s="28" t="e" cm="1" vm="1">
        <f t="array" ref="JX3">_xlfn._xlws.FILTER(Rutas,_xlfn._xlws.FILTER($B$2:$B$10000,$B$2:$B$10000&lt;&gt;"")=VALUE(INDEX(IdClientes,MATCH(JX2,Clientes,0))))</f>
        <v>#VALUE!</v>
      </c>
      <c r="JY3" s="28" t="e" cm="1" vm="1">
        <f t="array" ref="JY3">_xlfn._xlws.FILTER(Rutas,_xlfn._xlws.FILTER($B$2:$B$10000,$B$2:$B$10000&lt;&gt;"")=VALUE(INDEX(IdClientes,MATCH(JY2,Clientes,0))))</f>
        <v>#VALUE!</v>
      </c>
      <c r="JZ3" s="28" t="e" cm="1" vm="1">
        <f t="array" ref="JZ3">_xlfn._xlws.FILTER(Rutas,_xlfn._xlws.FILTER($B$2:$B$10000,$B$2:$B$10000&lt;&gt;"")=VALUE(INDEX(IdClientes,MATCH(JZ2,Clientes,0))))</f>
        <v>#VALUE!</v>
      </c>
      <c r="KA3" s="28" t="e" cm="1" vm="1">
        <f t="array" ref="KA3">_xlfn._xlws.FILTER(Rutas,_xlfn._xlws.FILTER($B$2:$B$10000,$B$2:$B$10000&lt;&gt;"")=VALUE(INDEX(IdClientes,MATCH(KA2,Clientes,0))))</f>
        <v>#VALUE!</v>
      </c>
      <c r="KB3" s="28" t="e" cm="1" vm="1">
        <f t="array" ref="KB3">_xlfn._xlws.FILTER(Rutas,_xlfn._xlws.FILTER($B$2:$B$10000,$B$2:$B$10000&lt;&gt;"")=VALUE(INDEX(IdClientes,MATCH(KB2,Clientes,0))))</f>
        <v>#VALUE!</v>
      </c>
      <c r="KC3" s="28" t="e" cm="1" vm="1">
        <f t="array" ref="KC3">_xlfn._xlws.FILTER(Rutas,_xlfn._xlws.FILTER($B$2:$B$10000,$B$2:$B$10000&lt;&gt;"")=VALUE(INDEX(IdClientes,MATCH(KC2,Clientes,0))))</f>
        <v>#VALUE!</v>
      </c>
      <c r="KD3" s="28" t="e" cm="1" vm="1">
        <f t="array" ref="KD3">_xlfn._xlws.FILTER(Rutas,_xlfn._xlws.FILTER($B$2:$B$10000,$B$2:$B$10000&lt;&gt;"")=VALUE(INDEX(IdClientes,MATCH(KD2,Clientes,0))))</f>
        <v>#VALUE!</v>
      </c>
      <c r="KE3" s="28" t="e" cm="1" vm="1">
        <f t="array" ref="KE3">_xlfn._xlws.FILTER(Rutas,_xlfn._xlws.FILTER($B$2:$B$10000,$B$2:$B$10000&lt;&gt;"")=VALUE(INDEX(IdClientes,MATCH(KE2,Clientes,0))))</f>
        <v>#VALUE!</v>
      </c>
      <c r="KF3" s="28" t="e" cm="1" vm="1">
        <f t="array" ref="KF3">_xlfn._xlws.FILTER(Rutas,_xlfn._xlws.FILTER($B$2:$B$10000,$B$2:$B$10000&lt;&gt;"")=VALUE(INDEX(IdClientes,MATCH(KF2,Clientes,0))))</f>
        <v>#VALUE!</v>
      </c>
      <c r="KG3" s="28" t="e" cm="1" vm="1">
        <f t="array" ref="KG3">_xlfn._xlws.FILTER(Rutas,_xlfn._xlws.FILTER($B$2:$B$10000,$B$2:$B$10000&lt;&gt;"")=VALUE(INDEX(IdClientes,MATCH(KG2,Clientes,0))))</f>
        <v>#VALUE!</v>
      </c>
      <c r="KH3" s="28" t="e" cm="1" vm="1">
        <f t="array" ref="KH3">_xlfn._xlws.FILTER(Rutas,_xlfn._xlws.FILTER($B$2:$B$10000,$B$2:$B$10000&lt;&gt;"")=VALUE(INDEX(IdClientes,MATCH(KH2,Clientes,0))))</f>
        <v>#VALUE!</v>
      </c>
      <c r="KI3" s="28" t="e" cm="1" vm="1">
        <f t="array" ref="KI3">_xlfn._xlws.FILTER(Rutas,_xlfn._xlws.FILTER($B$2:$B$10000,$B$2:$B$10000&lt;&gt;"")=VALUE(INDEX(IdClientes,MATCH(KI2,Clientes,0))))</f>
        <v>#VALUE!</v>
      </c>
      <c r="KJ3" s="28" t="e" cm="1" vm="1">
        <f t="array" ref="KJ3">_xlfn._xlws.FILTER(Rutas,_xlfn._xlws.FILTER($B$2:$B$10000,$B$2:$B$10000&lt;&gt;"")=VALUE(INDEX(IdClientes,MATCH(KJ2,Clientes,0))))</f>
        <v>#VALUE!</v>
      </c>
      <c r="KK3" s="28" t="e" cm="1" vm="1">
        <f t="array" ref="KK3">_xlfn._xlws.FILTER(Rutas,_xlfn._xlws.FILTER($B$2:$B$10000,$B$2:$B$10000&lt;&gt;"")=VALUE(INDEX(IdClientes,MATCH(KK2,Clientes,0))))</f>
        <v>#VALUE!</v>
      </c>
      <c r="KL3" s="28" t="e" cm="1" vm="1">
        <f t="array" ref="KL3">_xlfn._xlws.FILTER(Rutas,_xlfn._xlws.FILTER($B$2:$B$10000,$B$2:$B$10000&lt;&gt;"")=VALUE(INDEX(IdClientes,MATCH(KL2,Clientes,0))))</f>
        <v>#VALUE!</v>
      </c>
      <c r="KM3" s="28" t="e" cm="1" vm="1">
        <f t="array" ref="KM3">_xlfn._xlws.FILTER(Rutas,_xlfn._xlws.FILTER($B$2:$B$10000,$B$2:$B$10000&lt;&gt;"")=VALUE(INDEX(IdClientes,MATCH(KM2,Clientes,0))))</f>
        <v>#VALUE!</v>
      </c>
      <c r="KN3" s="28" t="e" cm="1" vm="1">
        <f t="array" ref="KN3">_xlfn._xlws.FILTER(Rutas,_xlfn._xlws.FILTER($B$2:$B$10000,$B$2:$B$10000&lt;&gt;"")=VALUE(INDEX(IdClientes,MATCH(KN2,Clientes,0))))</f>
        <v>#VALUE!</v>
      </c>
      <c r="KO3" s="28" t="e" cm="1" vm="1">
        <f t="array" ref="KO3">_xlfn._xlws.FILTER(Rutas,_xlfn._xlws.FILTER($B$2:$B$10000,$B$2:$B$10000&lt;&gt;"")=VALUE(INDEX(IdClientes,MATCH(KO2,Clientes,0))))</f>
        <v>#VALUE!</v>
      </c>
      <c r="KP3" s="28" t="e" cm="1" vm="1">
        <f t="array" ref="KP3">_xlfn._xlws.FILTER(Rutas,_xlfn._xlws.FILTER($B$2:$B$10000,$B$2:$B$10000&lt;&gt;"")=VALUE(INDEX(IdClientes,MATCH(KP2,Clientes,0))))</f>
        <v>#VALUE!</v>
      </c>
      <c r="KQ3" s="28" t="e" cm="1" vm="1">
        <f t="array" ref="KQ3">_xlfn._xlws.FILTER(Rutas,_xlfn._xlws.FILTER($B$2:$B$10000,$B$2:$B$10000&lt;&gt;"")=VALUE(INDEX(IdClientes,MATCH(KQ2,Clientes,0))))</f>
        <v>#VALUE!</v>
      </c>
      <c r="KR3" s="28" t="e" cm="1" vm="1">
        <f t="array" ref="KR3">_xlfn._xlws.FILTER(Rutas,_xlfn._xlws.FILTER($B$2:$B$10000,$B$2:$B$10000&lt;&gt;"")=VALUE(INDEX(IdClientes,MATCH(KR2,Clientes,0))))</f>
        <v>#VALUE!</v>
      </c>
      <c r="KS3" s="28" t="e" cm="1" vm="1">
        <f t="array" ref="KS3">_xlfn._xlws.FILTER(Rutas,_xlfn._xlws.FILTER($B$2:$B$10000,$B$2:$B$10000&lt;&gt;"")=VALUE(INDEX(IdClientes,MATCH(KS2,Clientes,0))))</f>
        <v>#VALUE!</v>
      </c>
      <c r="KT3" s="28" t="e" cm="1" vm="1">
        <f t="array" ref="KT3">_xlfn._xlws.FILTER(Rutas,_xlfn._xlws.FILTER($B$2:$B$10000,$B$2:$B$10000&lt;&gt;"")=VALUE(INDEX(IdClientes,MATCH(KT2,Clientes,0))))</f>
        <v>#VALUE!</v>
      </c>
      <c r="KU3" s="28" t="e" cm="1" vm="1">
        <f t="array" ref="KU3">_xlfn._xlws.FILTER(Rutas,_xlfn._xlws.FILTER($B$2:$B$10000,$B$2:$B$10000&lt;&gt;"")=VALUE(INDEX(IdClientes,MATCH(KU2,Clientes,0))))</f>
        <v>#VALUE!</v>
      </c>
      <c r="KV3" s="28" t="e" cm="1" vm="1">
        <f t="array" ref="KV3">_xlfn._xlws.FILTER(Rutas,_xlfn._xlws.FILTER($B$2:$B$10000,$B$2:$B$10000&lt;&gt;"")=VALUE(INDEX(IdClientes,MATCH(KV2,Clientes,0))))</f>
        <v>#VALUE!</v>
      </c>
      <c r="KW3" s="28" t="e" cm="1" vm="1">
        <f t="array" ref="KW3">_xlfn._xlws.FILTER(Rutas,_xlfn._xlws.FILTER($B$2:$B$10000,$B$2:$B$10000&lt;&gt;"")=VALUE(INDEX(IdClientes,MATCH(KW2,Clientes,0))))</f>
        <v>#VALUE!</v>
      </c>
      <c r="KX3" s="28" t="e" cm="1" vm="1">
        <f t="array" ref="KX3">_xlfn._xlws.FILTER(Rutas,_xlfn._xlws.FILTER($B$2:$B$10000,$B$2:$B$10000&lt;&gt;"")=VALUE(INDEX(IdClientes,MATCH(KX2,Clientes,0))))</f>
        <v>#VALUE!</v>
      </c>
      <c r="KY3" s="28" t="e" cm="1" vm="1">
        <f t="array" ref="KY3">_xlfn._xlws.FILTER(Rutas,_xlfn._xlws.FILTER($B$2:$B$10000,$B$2:$B$10000&lt;&gt;"")=VALUE(INDEX(IdClientes,MATCH(KY2,Clientes,0))))</f>
        <v>#VALUE!</v>
      </c>
      <c r="KZ3" s="28" t="e" cm="1" vm="1">
        <f t="array" ref="KZ3">_xlfn._xlws.FILTER(Rutas,_xlfn._xlws.FILTER($B$2:$B$10000,$B$2:$B$10000&lt;&gt;"")=VALUE(INDEX(IdClientes,MATCH(KZ2,Clientes,0))))</f>
        <v>#VALUE!</v>
      </c>
      <c r="LA3" s="28" t="e" cm="1" vm="1">
        <f t="array" ref="LA3">_xlfn._xlws.FILTER(Rutas,_xlfn._xlws.FILTER($B$2:$B$10000,$B$2:$B$10000&lt;&gt;"")=VALUE(INDEX(IdClientes,MATCH(LA2,Clientes,0))))</f>
        <v>#VALUE!</v>
      </c>
      <c r="LB3" s="28" t="e" cm="1" vm="1">
        <f t="array" ref="LB3">_xlfn._xlws.FILTER(Rutas,_xlfn._xlws.FILTER($B$2:$B$10000,$B$2:$B$10000&lt;&gt;"")=VALUE(INDEX(IdClientes,MATCH(LB2,Clientes,0))))</f>
        <v>#VALUE!</v>
      </c>
      <c r="LC3" s="28" t="e" cm="1" vm="1">
        <f t="array" ref="LC3">_xlfn._xlws.FILTER(Rutas,_xlfn._xlws.FILTER($B$2:$B$10000,$B$2:$B$10000&lt;&gt;"")=VALUE(INDEX(IdClientes,MATCH(LC2,Clientes,0))))</f>
        <v>#VALUE!</v>
      </c>
      <c r="LD3" s="28" t="e" cm="1" vm="1">
        <f t="array" ref="LD3">_xlfn._xlws.FILTER(Rutas,_xlfn._xlws.FILTER($B$2:$B$10000,$B$2:$B$10000&lt;&gt;"")=VALUE(INDEX(IdClientes,MATCH(LD2,Clientes,0))))</f>
        <v>#VALUE!</v>
      </c>
      <c r="LE3" s="28" t="e" cm="1" vm="1">
        <f t="array" ref="LE3">_xlfn._xlws.FILTER(Rutas,_xlfn._xlws.FILTER($B$2:$B$10000,$B$2:$B$10000&lt;&gt;"")=VALUE(INDEX(IdClientes,MATCH(LE2,Clientes,0))))</f>
        <v>#VALUE!</v>
      </c>
      <c r="LF3" s="28" t="e" cm="1" vm="1">
        <f t="array" ref="LF3">_xlfn._xlws.FILTER(Rutas,_xlfn._xlws.FILTER($B$2:$B$10000,$B$2:$B$10000&lt;&gt;"")=VALUE(INDEX(IdClientes,MATCH(LF2,Clientes,0))))</f>
        <v>#VALUE!</v>
      </c>
      <c r="LG3" s="28" t="e" cm="1" vm="1">
        <f t="array" ref="LG3">_xlfn._xlws.FILTER(Rutas,_xlfn._xlws.FILTER($B$2:$B$10000,$B$2:$B$10000&lt;&gt;"")=VALUE(INDEX(IdClientes,MATCH(LG2,Clientes,0))))</f>
        <v>#VALUE!</v>
      </c>
      <c r="LH3" s="28" t="e" cm="1" vm="1">
        <f t="array" ref="LH3">_xlfn._xlws.FILTER(Rutas,_xlfn._xlws.FILTER($B$2:$B$10000,$B$2:$B$10000&lt;&gt;"")=VALUE(INDEX(IdClientes,MATCH(LH2,Clientes,0))))</f>
        <v>#VALUE!</v>
      </c>
      <c r="LI3" s="28" t="e" cm="1" vm="1">
        <f t="array" ref="LI3">_xlfn._xlws.FILTER(Rutas,_xlfn._xlws.FILTER($B$2:$B$10000,$B$2:$B$10000&lt;&gt;"")=VALUE(INDEX(IdClientes,MATCH(LI2,Clientes,0))))</f>
        <v>#VALUE!</v>
      </c>
      <c r="LJ3" s="28" t="e" cm="1" vm="1">
        <f t="array" ref="LJ3">_xlfn._xlws.FILTER(Rutas,_xlfn._xlws.FILTER($B$2:$B$10000,$B$2:$B$10000&lt;&gt;"")=VALUE(INDEX(IdClientes,MATCH(LJ2,Clientes,0))))</f>
        <v>#VALUE!</v>
      </c>
      <c r="LK3" s="28" t="e" cm="1" vm="1">
        <f t="array" ref="LK3">_xlfn._xlws.FILTER(Rutas,_xlfn._xlws.FILTER($B$2:$B$10000,$B$2:$B$10000&lt;&gt;"")=VALUE(INDEX(IdClientes,MATCH(LK2,Clientes,0))))</f>
        <v>#VALUE!</v>
      </c>
      <c r="LL3" s="28" t="e" cm="1" vm="1">
        <f t="array" ref="LL3">_xlfn._xlws.FILTER(Rutas,_xlfn._xlws.FILTER($B$2:$B$10000,$B$2:$B$10000&lt;&gt;"")=VALUE(INDEX(IdClientes,MATCH(LL2,Clientes,0))))</f>
        <v>#VALUE!</v>
      </c>
      <c r="LM3" s="28" t="e" cm="1" vm="1">
        <f t="array" ref="LM3">_xlfn._xlws.FILTER(Rutas,_xlfn._xlws.FILTER($B$2:$B$10000,$B$2:$B$10000&lt;&gt;"")=VALUE(INDEX(IdClientes,MATCH(LM2,Clientes,0))))</f>
        <v>#VALUE!</v>
      </c>
      <c r="LN3" s="28" t="e" cm="1" vm="1">
        <f t="array" ref="LN3">_xlfn._xlws.FILTER(Rutas,_xlfn._xlws.FILTER($B$2:$B$10000,$B$2:$B$10000&lt;&gt;"")=VALUE(INDEX(IdClientes,MATCH(LN2,Clientes,0))))</f>
        <v>#VALUE!</v>
      </c>
      <c r="LO3" s="28" t="e" cm="1" vm="1">
        <f t="array" ref="LO3">_xlfn._xlws.FILTER(Rutas,_xlfn._xlws.FILTER($B$2:$B$10000,$B$2:$B$10000&lt;&gt;"")=VALUE(INDEX(IdClientes,MATCH(LO2,Clientes,0))))</f>
        <v>#VALUE!</v>
      </c>
      <c r="LP3" s="28" t="e" cm="1" vm="1">
        <f t="array" ref="LP3">_xlfn._xlws.FILTER(Rutas,_xlfn._xlws.FILTER($B$2:$B$10000,$B$2:$B$10000&lt;&gt;"")=VALUE(INDEX(IdClientes,MATCH(LP2,Clientes,0))))</f>
        <v>#VALUE!</v>
      </c>
      <c r="LQ3" s="28" t="e" cm="1" vm="1">
        <f t="array" ref="LQ3">_xlfn._xlws.FILTER(Rutas,_xlfn._xlws.FILTER($B$2:$B$10000,$B$2:$B$10000&lt;&gt;"")=VALUE(INDEX(IdClientes,MATCH(LQ2,Clientes,0))))</f>
        <v>#VALUE!</v>
      </c>
      <c r="LR3" s="28" t="e" cm="1" vm="1">
        <f t="array" ref="LR3">_xlfn._xlws.FILTER(Rutas,_xlfn._xlws.FILTER($B$2:$B$10000,$B$2:$B$10000&lt;&gt;"")=VALUE(INDEX(IdClientes,MATCH(LR2,Clientes,0))))</f>
        <v>#VALUE!</v>
      </c>
      <c r="LS3" s="28" t="e" cm="1" vm="1">
        <f t="array" ref="LS3">_xlfn._xlws.FILTER(Rutas,_xlfn._xlws.FILTER($B$2:$B$10000,$B$2:$B$10000&lt;&gt;"")=VALUE(INDEX(IdClientes,MATCH(LS2,Clientes,0))))</f>
        <v>#VALUE!</v>
      </c>
      <c r="LT3" s="28" t="e" cm="1" vm="1">
        <f t="array" ref="LT3">_xlfn._xlws.FILTER(Rutas,_xlfn._xlws.FILTER($B$2:$B$10000,$B$2:$B$10000&lt;&gt;"")=VALUE(INDEX(IdClientes,MATCH(LT2,Clientes,0))))</f>
        <v>#VALUE!</v>
      </c>
      <c r="LU3" s="28" t="e" cm="1" vm="1">
        <f t="array" ref="LU3">_xlfn._xlws.FILTER(Rutas,_xlfn._xlws.FILTER($B$2:$B$10000,$B$2:$B$10000&lt;&gt;"")=VALUE(INDEX(IdClientes,MATCH(LU2,Clientes,0))))</f>
        <v>#VALUE!</v>
      </c>
      <c r="LV3" s="28" t="e" cm="1" vm="1">
        <f t="array" ref="LV3">_xlfn._xlws.FILTER(Rutas,_xlfn._xlws.FILTER($B$2:$B$10000,$B$2:$B$10000&lt;&gt;"")=VALUE(INDEX(IdClientes,MATCH(LV2,Clientes,0))))</f>
        <v>#VALUE!</v>
      </c>
      <c r="LW3" s="28" t="e" cm="1" vm="1">
        <f t="array" ref="LW3">_xlfn._xlws.FILTER(Rutas,_xlfn._xlws.FILTER($B$2:$B$10000,$B$2:$B$10000&lt;&gt;"")=VALUE(INDEX(IdClientes,MATCH(LW2,Clientes,0))))</f>
        <v>#VALUE!</v>
      </c>
      <c r="LX3" s="28" t="e" cm="1" vm="1">
        <f t="array" ref="LX3">_xlfn._xlws.FILTER(Rutas,_xlfn._xlws.FILTER($B$2:$B$10000,$B$2:$B$10000&lt;&gt;"")=VALUE(INDEX(IdClientes,MATCH(LX2,Clientes,0))))</f>
        <v>#VALUE!</v>
      </c>
      <c r="LY3" s="28" t="e" cm="1" vm="1">
        <f t="array" ref="LY3">_xlfn._xlws.FILTER(Rutas,_xlfn._xlws.FILTER($B$2:$B$10000,$B$2:$B$10000&lt;&gt;"")=VALUE(INDEX(IdClientes,MATCH(LY2,Clientes,0))))</f>
        <v>#VALUE!</v>
      </c>
      <c r="LZ3" s="28" t="e" cm="1" vm="1">
        <f t="array" ref="LZ3">_xlfn._xlws.FILTER(Rutas,_xlfn._xlws.FILTER($B$2:$B$10000,$B$2:$B$10000&lt;&gt;"")=VALUE(INDEX(IdClientes,MATCH(LZ2,Clientes,0))))</f>
        <v>#VALUE!</v>
      </c>
      <c r="MA3" s="28" t="e" cm="1" vm="1">
        <f t="array" ref="MA3">_xlfn._xlws.FILTER(Rutas,_xlfn._xlws.FILTER($B$2:$B$10000,$B$2:$B$10000&lt;&gt;"")=VALUE(INDEX(IdClientes,MATCH(MA2,Clientes,0))))</f>
        <v>#VALUE!</v>
      </c>
      <c r="MB3" s="28" t="e" cm="1" vm="1">
        <f t="array" ref="MB3">_xlfn._xlws.FILTER(Rutas,_xlfn._xlws.FILTER($B$2:$B$10000,$B$2:$B$10000&lt;&gt;"")=VALUE(INDEX(IdClientes,MATCH(MB2,Clientes,0))))</f>
        <v>#VALUE!</v>
      </c>
      <c r="MC3" s="28" t="e" cm="1" vm="1">
        <f t="array" ref="MC3">_xlfn._xlws.FILTER(Rutas,_xlfn._xlws.FILTER($B$2:$B$10000,$B$2:$B$10000&lt;&gt;"")=VALUE(INDEX(IdClientes,MATCH(MC2,Clientes,0))))</f>
        <v>#VALUE!</v>
      </c>
      <c r="MD3" s="28" t="e" cm="1" vm="1">
        <f t="array" ref="MD3">_xlfn._xlws.FILTER(Rutas,_xlfn._xlws.FILTER($B$2:$B$10000,$B$2:$B$10000&lt;&gt;"")=VALUE(INDEX(IdClientes,MATCH(MD2,Clientes,0))))</f>
        <v>#VALUE!</v>
      </c>
      <c r="ME3" s="28" t="e" cm="1" vm="1">
        <f t="array" ref="ME3">_xlfn._xlws.FILTER(Rutas,_xlfn._xlws.FILTER($B$2:$B$10000,$B$2:$B$10000&lt;&gt;"")=VALUE(INDEX(IdClientes,MATCH(ME2,Clientes,0))))</f>
        <v>#VALUE!</v>
      </c>
      <c r="MF3" s="28" t="e" cm="1" vm="1">
        <f t="array" ref="MF3">_xlfn._xlws.FILTER(Rutas,_xlfn._xlws.FILTER($B$2:$B$10000,$B$2:$B$10000&lt;&gt;"")=VALUE(INDEX(IdClientes,MATCH(MF2,Clientes,0))))</f>
        <v>#VALUE!</v>
      </c>
      <c r="MG3" s="28" t="e" cm="1" vm="1">
        <f t="array" ref="MG3">_xlfn._xlws.FILTER(Rutas,_xlfn._xlws.FILTER($B$2:$B$10000,$B$2:$B$10000&lt;&gt;"")=VALUE(INDEX(IdClientes,MATCH(MG2,Clientes,0))))</f>
        <v>#VALUE!</v>
      </c>
      <c r="MH3" s="28" t="e" cm="1" vm="1">
        <f t="array" ref="MH3">_xlfn._xlws.FILTER(Rutas,_xlfn._xlws.FILTER($B$2:$B$10000,$B$2:$B$10000&lt;&gt;"")=VALUE(INDEX(IdClientes,MATCH(MH2,Clientes,0))))</f>
        <v>#VALUE!</v>
      </c>
      <c r="MI3" s="28" t="e" cm="1" vm="1">
        <f t="array" ref="MI3">_xlfn._xlws.FILTER(Rutas,_xlfn._xlws.FILTER($B$2:$B$10000,$B$2:$B$10000&lt;&gt;"")=VALUE(INDEX(IdClientes,MATCH(MI2,Clientes,0))))</f>
        <v>#VALUE!</v>
      </c>
      <c r="MJ3" s="28" t="e" cm="1" vm="1">
        <f t="array" ref="MJ3">_xlfn._xlws.FILTER(Rutas,_xlfn._xlws.FILTER($B$2:$B$10000,$B$2:$B$10000&lt;&gt;"")=VALUE(INDEX(IdClientes,MATCH(MJ2,Clientes,0))))</f>
        <v>#VALUE!</v>
      </c>
      <c r="MK3" s="28" t="e" cm="1" vm="1">
        <f t="array" ref="MK3">_xlfn._xlws.FILTER(Rutas,_xlfn._xlws.FILTER($B$2:$B$10000,$B$2:$B$10000&lt;&gt;"")=VALUE(INDEX(IdClientes,MATCH(MK2,Clientes,0))))</f>
        <v>#VALUE!</v>
      </c>
      <c r="ML3" s="28" t="e" cm="1" vm="1">
        <f t="array" ref="ML3">_xlfn._xlws.FILTER(Rutas,_xlfn._xlws.FILTER($B$2:$B$10000,$B$2:$B$10000&lt;&gt;"")=VALUE(INDEX(IdClientes,MATCH(ML2,Clientes,0))))</f>
        <v>#VALUE!</v>
      </c>
      <c r="MM3" s="28" t="e" cm="1" vm="1">
        <f t="array" ref="MM3">_xlfn._xlws.FILTER(Rutas,_xlfn._xlws.FILTER($B$2:$B$10000,$B$2:$B$10000&lt;&gt;"")=VALUE(INDEX(IdClientes,MATCH(MM2,Clientes,0))))</f>
        <v>#VALUE!</v>
      </c>
      <c r="MN3" s="28" t="e" cm="1" vm="1">
        <f t="array" ref="MN3">_xlfn._xlws.FILTER(Rutas,_xlfn._xlws.FILTER($B$2:$B$10000,$B$2:$B$10000&lt;&gt;"")=VALUE(INDEX(IdClientes,MATCH(MN2,Clientes,0))))</f>
        <v>#VALUE!</v>
      </c>
      <c r="MO3" s="28" t="e" cm="1" vm="1">
        <f t="array" ref="MO3">_xlfn._xlws.FILTER(Rutas,_xlfn._xlws.FILTER($B$2:$B$10000,$B$2:$B$10000&lt;&gt;"")=VALUE(INDEX(IdClientes,MATCH(MO2,Clientes,0))))</f>
        <v>#VALUE!</v>
      </c>
      <c r="MP3" s="28" t="e" cm="1" vm="1">
        <f t="array" ref="MP3">_xlfn._xlws.FILTER(Rutas,_xlfn._xlws.FILTER($B$2:$B$10000,$B$2:$B$10000&lt;&gt;"")=VALUE(INDEX(IdClientes,MATCH(MP2,Clientes,0))))</f>
        <v>#VALUE!</v>
      </c>
      <c r="MQ3" s="28" t="e" cm="1" vm="1">
        <f t="array" ref="MQ3">_xlfn._xlws.FILTER(Rutas,_xlfn._xlws.FILTER($B$2:$B$10000,$B$2:$B$10000&lt;&gt;"")=VALUE(INDEX(IdClientes,MATCH(MQ2,Clientes,0))))</f>
        <v>#VALUE!</v>
      </c>
      <c r="MR3" s="28" t="e" cm="1" vm="1">
        <f t="array" ref="MR3">_xlfn._xlws.FILTER(Rutas,_xlfn._xlws.FILTER($B$2:$B$10000,$B$2:$B$10000&lt;&gt;"")=VALUE(INDEX(IdClientes,MATCH(MR2,Clientes,0))))</f>
        <v>#VALUE!</v>
      </c>
      <c r="MS3" s="28" t="e" cm="1" vm="1">
        <f t="array" ref="MS3">_xlfn._xlws.FILTER(Rutas,_xlfn._xlws.FILTER($B$2:$B$10000,$B$2:$B$10000&lt;&gt;"")=VALUE(INDEX(IdClientes,MATCH(MS2,Clientes,0))))</f>
        <v>#VALUE!</v>
      </c>
      <c r="MT3" s="28" t="e" cm="1" vm="1">
        <f t="array" ref="MT3">_xlfn._xlws.FILTER(Rutas,_xlfn._xlws.FILTER($B$2:$B$10000,$B$2:$B$10000&lt;&gt;"")=VALUE(INDEX(IdClientes,MATCH(MT2,Clientes,0))))</f>
        <v>#VALUE!</v>
      </c>
      <c r="MU3" s="28" t="e" cm="1" vm="1">
        <f t="array" ref="MU3">_xlfn._xlws.FILTER(Rutas,_xlfn._xlws.FILTER($B$2:$B$10000,$B$2:$B$10000&lt;&gt;"")=VALUE(INDEX(IdClientes,MATCH(MU2,Clientes,0))))</f>
        <v>#VALUE!</v>
      </c>
      <c r="MV3" s="28" t="e" cm="1" vm="1">
        <f t="array" ref="MV3">_xlfn._xlws.FILTER(Rutas,_xlfn._xlws.FILTER($B$2:$B$10000,$B$2:$B$10000&lt;&gt;"")=VALUE(INDEX(IdClientes,MATCH(MV2,Clientes,0))))</f>
        <v>#VALUE!</v>
      </c>
      <c r="MW3" s="28" t="e" cm="1" vm="1">
        <f t="array" ref="MW3">_xlfn._xlws.FILTER(Rutas,_xlfn._xlws.FILTER($B$2:$B$10000,$B$2:$B$10000&lt;&gt;"")=VALUE(INDEX(IdClientes,MATCH(MW2,Clientes,0))))</f>
        <v>#VALUE!</v>
      </c>
      <c r="MX3" s="28" t="e" cm="1" vm="1">
        <f t="array" ref="MX3">_xlfn._xlws.FILTER(Rutas,_xlfn._xlws.FILTER($B$2:$B$10000,$B$2:$B$10000&lt;&gt;"")=VALUE(INDEX(IdClientes,MATCH(MX2,Clientes,0))))</f>
        <v>#VALUE!</v>
      </c>
      <c r="MY3" s="28" t="e" cm="1" vm="1">
        <f t="array" ref="MY3">_xlfn._xlws.FILTER(Rutas,_xlfn._xlws.FILTER($B$2:$B$10000,$B$2:$B$10000&lt;&gt;"")=VALUE(INDEX(IdClientes,MATCH(MY2,Clientes,0))))</f>
        <v>#VALUE!</v>
      </c>
      <c r="MZ3" s="28" t="e" cm="1" vm="1">
        <f t="array" ref="MZ3">_xlfn._xlws.FILTER(Rutas,_xlfn._xlws.FILTER($B$2:$B$10000,$B$2:$B$10000&lt;&gt;"")=VALUE(INDEX(IdClientes,MATCH(MZ2,Clientes,0))))</f>
        <v>#VALUE!</v>
      </c>
      <c r="NA3" s="28" t="e" cm="1" vm="1">
        <f t="array" ref="NA3">_xlfn._xlws.FILTER(Rutas,_xlfn._xlws.FILTER($B$2:$B$10000,$B$2:$B$10000&lt;&gt;"")=VALUE(INDEX(IdClientes,MATCH(NA2,Clientes,0))))</f>
        <v>#VALUE!</v>
      </c>
      <c r="NB3" s="28" t="e" cm="1" vm="1">
        <f t="array" ref="NB3">_xlfn._xlws.FILTER(Rutas,_xlfn._xlws.FILTER($B$2:$B$10000,$B$2:$B$10000&lt;&gt;"")=VALUE(INDEX(IdClientes,MATCH(NB2,Clientes,0))))</f>
        <v>#VALUE!</v>
      </c>
      <c r="NC3" s="28" t="e" cm="1" vm="1">
        <f t="array" ref="NC3">_xlfn._xlws.FILTER(Rutas,_xlfn._xlws.FILTER($B$2:$B$10000,$B$2:$B$10000&lt;&gt;"")=VALUE(INDEX(IdClientes,MATCH(NC2,Clientes,0))))</f>
        <v>#VALUE!</v>
      </c>
      <c r="ND3" s="28" t="e" cm="1" vm="1">
        <f t="array" ref="ND3">_xlfn._xlws.FILTER(Rutas,_xlfn._xlws.FILTER($B$2:$B$10000,$B$2:$B$10000&lt;&gt;"")=VALUE(INDEX(IdClientes,MATCH(ND2,Clientes,0))))</f>
        <v>#VALUE!</v>
      </c>
      <c r="NE3" s="28" t="e" cm="1" vm="1">
        <f t="array" ref="NE3">_xlfn._xlws.FILTER(Rutas,_xlfn._xlws.FILTER($B$2:$B$10000,$B$2:$B$10000&lt;&gt;"")=VALUE(INDEX(IdClientes,MATCH(NE2,Clientes,0))))</f>
        <v>#VALUE!</v>
      </c>
      <c r="NF3" s="28" t="e" cm="1" vm="1">
        <f t="array" ref="NF3">_xlfn._xlws.FILTER(Rutas,_xlfn._xlws.FILTER($B$2:$B$10000,$B$2:$B$10000&lt;&gt;"")=VALUE(INDEX(IdClientes,MATCH(NF2,Clientes,0))))</f>
        <v>#VALUE!</v>
      </c>
      <c r="NG3" s="28" t="e" cm="1" vm="1">
        <f t="array" ref="NG3">_xlfn._xlws.FILTER(Rutas,_xlfn._xlws.FILTER($B$2:$B$10000,$B$2:$B$10000&lt;&gt;"")=VALUE(INDEX(IdClientes,MATCH(NG2,Clientes,0))))</f>
        <v>#VALUE!</v>
      </c>
      <c r="NH3" s="28" t="e" cm="1" vm="1">
        <f t="array" ref="NH3">_xlfn._xlws.FILTER(Rutas,_xlfn._xlws.FILTER($B$2:$B$10000,$B$2:$B$10000&lt;&gt;"")=VALUE(INDEX(IdClientes,MATCH(NH2,Clientes,0))))</f>
        <v>#VALUE!</v>
      </c>
      <c r="NI3" s="28" t="e" cm="1" vm="1">
        <f t="array" ref="NI3">_xlfn._xlws.FILTER(Rutas,_xlfn._xlws.FILTER($B$2:$B$10000,$B$2:$B$10000&lt;&gt;"")=VALUE(INDEX(IdClientes,MATCH(NI2,Clientes,0))))</f>
        <v>#VALUE!</v>
      </c>
      <c r="NJ3" s="28" t="e" cm="1" vm="1">
        <f t="array" ref="NJ3">_xlfn._xlws.FILTER(Rutas,_xlfn._xlws.FILTER($B$2:$B$10000,$B$2:$B$10000&lt;&gt;"")=VALUE(INDEX(IdClientes,MATCH(NJ2,Clientes,0))))</f>
        <v>#VALUE!</v>
      </c>
      <c r="NK3" s="28" t="e" cm="1" vm="1">
        <f t="array" ref="NK3">_xlfn._xlws.FILTER(Rutas,_xlfn._xlws.FILTER($B$2:$B$10000,$B$2:$B$10000&lt;&gt;"")=VALUE(INDEX(IdClientes,MATCH(NK2,Clientes,0))))</f>
        <v>#VALUE!</v>
      </c>
      <c r="NL3" s="28" t="e" cm="1" vm="1">
        <f t="array" ref="NL3">_xlfn._xlws.FILTER(Rutas,_xlfn._xlws.FILTER($B$2:$B$10000,$B$2:$B$10000&lt;&gt;"")=VALUE(INDEX(IdClientes,MATCH(NL2,Clientes,0))))</f>
        <v>#VALUE!</v>
      </c>
      <c r="NM3" s="28" t="e" cm="1" vm="1">
        <f t="array" ref="NM3">_xlfn._xlws.FILTER(Rutas,_xlfn._xlws.FILTER($B$2:$B$10000,$B$2:$B$10000&lt;&gt;"")=VALUE(INDEX(IdClientes,MATCH(NM2,Clientes,0))))</f>
        <v>#VALUE!</v>
      </c>
      <c r="NN3" s="28" t="e" cm="1" vm="1">
        <f t="array" ref="NN3">_xlfn._xlws.FILTER(Rutas,_xlfn._xlws.FILTER($B$2:$B$10000,$B$2:$B$10000&lt;&gt;"")=VALUE(INDEX(IdClientes,MATCH(NN2,Clientes,0))))</f>
        <v>#VALUE!</v>
      </c>
      <c r="NO3" s="28" t="e" cm="1" vm="1">
        <f t="array" ref="NO3">_xlfn._xlws.FILTER(Rutas,_xlfn._xlws.FILTER($B$2:$B$10000,$B$2:$B$10000&lt;&gt;"")=VALUE(INDEX(IdClientes,MATCH(NO2,Clientes,0))))</f>
        <v>#VALUE!</v>
      </c>
      <c r="NP3" s="28" t="e" cm="1" vm="1">
        <f t="array" ref="NP3">_xlfn._xlws.FILTER(Rutas,_xlfn._xlws.FILTER($B$2:$B$10000,$B$2:$B$10000&lt;&gt;"")=VALUE(INDEX(IdClientes,MATCH(NP2,Clientes,0))))</f>
        <v>#VALUE!</v>
      </c>
      <c r="NQ3" s="28" t="e" cm="1" vm="1">
        <f t="array" ref="NQ3">_xlfn._xlws.FILTER(Rutas,_xlfn._xlws.FILTER($B$2:$B$10000,$B$2:$B$10000&lt;&gt;"")=VALUE(INDEX(IdClientes,MATCH(NQ2,Clientes,0))))</f>
        <v>#VALUE!</v>
      </c>
      <c r="NR3" s="28" t="e" cm="1" vm="1">
        <f t="array" ref="NR3">_xlfn._xlws.FILTER(Rutas,_xlfn._xlws.FILTER($B$2:$B$10000,$B$2:$B$10000&lt;&gt;"")=VALUE(INDEX(IdClientes,MATCH(NR2,Clientes,0))))</f>
        <v>#VALUE!</v>
      </c>
      <c r="NS3" s="28" t="e" cm="1" vm="1">
        <f t="array" ref="NS3">_xlfn._xlws.FILTER(Rutas,_xlfn._xlws.FILTER($B$2:$B$10000,$B$2:$B$10000&lt;&gt;"")=VALUE(INDEX(IdClientes,MATCH(NS2,Clientes,0))))</f>
        <v>#VALUE!</v>
      </c>
      <c r="NT3" s="28" t="e" cm="1" vm="1">
        <f t="array" ref="NT3">_xlfn._xlws.FILTER(Rutas,_xlfn._xlws.FILTER($B$2:$B$10000,$B$2:$B$10000&lt;&gt;"")=VALUE(INDEX(IdClientes,MATCH(NT2,Clientes,0))))</f>
        <v>#VALUE!</v>
      </c>
      <c r="NU3" s="28" t="e" cm="1" vm="1">
        <f t="array" ref="NU3">_xlfn._xlws.FILTER(Rutas,_xlfn._xlws.FILTER($B$2:$B$10000,$B$2:$B$10000&lt;&gt;"")=VALUE(INDEX(IdClientes,MATCH(NU2,Clientes,0))))</f>
        <v>#VALUE!</v>
      </c>
      <c r="NV3" s="28" t="e" cm="1" vm="1">
        <f t="array" ref="NV3">_xlfn._xlws.FILTER(Rutas,_xlfn._xlws.FILTER($B$2:$B$10000,$B$2:$B$10000&lt;&gt;"")=VALUE(INDEX(IdClientes,MATCH(NV2,Clientes,0))))</f>
        <v>#VALUE!</v>
      </c>
      <c r="NW3" s="28" t="e" cm="1" vm="1">
        <f t="array" ref="NW3">_xlfn._xlws.FILTER(Rutas,_xlfn._xlws.FILTER($B$2:$B$10000,$B$2:$B$10000&lt;&gt;"")=VALUE(INDEX(IdClientes,MATCH(NW2,Clientes,0))))</f>
        <v>#VALUE!</v>
      </c>
      <c r="NX3" s="28" t="e" cm="1" vm="1">
        <f t="array" ref="NX3">_xlfn._xlws.FILTER(Rutas,_xlfn._xlws.FILTER($B$2:$B$10000,$B$2:$B$10000&lt;&gt;"")=VALUE(INDEX(IdClientes,MATCH(NX2,Clientes,0))))</f>
        <v>#VALUE!</v>
      </c>
      <c r="NY3" s="28" t="e" cm="1" vm="1">
        <f t="array" ref="NY3">_xlfn._xlws.FILTER(Rutas,_xlfn._xlws.FILTER($B$2:$B$10000,$B$2:$B$10000&lt;&gt;"")=VALUE(INDEX(IdClientes,MATCH(NY2,Clientes,0))))</f>
        <v>#VALUE!</v>
      </c>
      <c r="NZ3" s="28" t="e" cm="1" vm="1">
        <f t="array" ref="NZ3">_xlfn._xlws.FILTER(Rutas,_xlfn._xlws.FILTER($B$2:$B$10000,$B$2:$B$10000&lt;&gt;"")=VALUE(INDEX(IdClientes,MATCH(NZ2,Clientes,0))))</f>
        <v>#VALUE!</v>
      </c>
      <c r="OA3" s="28" t="e" cm="1" vm="1">
        <f t="array" ref="OA3">_xlfn._xlws.FILTER(Rutas,_xlfn._xlws.FILTER($B$2:$B$10000,$B$2:$B$10000&lt;&gt;"")=VALUE(INDEX(IdClientes,MATCH(OA2,Clientes,0))))</f>
        <v>#VALUE!</v>
      </c>
      <c r="OB3" s="28" t="e" cm="1" vm="1">
        <f t="array" ref="OB3">_xlfn._xlws.FILTER(Rutas,_xlfn._xlws.FILTER($B$2:$B$10000,$B$2:$B$10000&lt;&gt;"")=VALUE(INDEX(IdClientes,MATCH(OB2,Clientes,0))))</f>
        <v>#VALUE!</v>
      </c>
      <c r="OC3" s="28" t="e" cm="1" vm="1">
        <f t="array" ref="OC3">_xlfn._xlws.FILTER(Rutas,_xlfn._xlws.FILTER($B$2:$B$10000,$B$2:$B$10000&lt;&gt;"")=VALUE(INDEX(IdClientes,MATCH(OC2,Clientes,0))))</f>
        <v>#VALUE!</v>
      </c>
      <c r="OD3" s="28" t="e" cm="1" vm="1">
        <f t="array" ref="OD3">_xlfn._xlws.FILTER(Rutas,_xlfn._xlws.FILTER($B$2:$B$10000,$B$2:$B$10000&lt;&gt;"")=VALUE(INDEX(IdClientes,MATCH(OD2,Clientes,0))))</f>
        <v>#VALUE!</v>
      </c>
      <c r="OE3" s="28" t="e" cm="1" vm="1">
        <f t="array" ref="OE3">_xlfn._xlws.FILTER(Rutas,_xlfn._xlws.FILTER($B$2:$B$10000,$B$2:$B$10000&lt;&gt;"")=VALUE(INDEX(IdClientes,MATCH(OE2,Clientes,0))))</f>
        <v>#VALUE!</v>
      </c>
      <c r="OF3" s="28" t="e" cm="1" vm="1">
        <f t="array" ref="OF3">_xlfn._xlws.FILTER(Rutas,_xlfn._xlws.FILTER($B$2:$B$10000,$B$2:$B$10000&lt;&gt;"")=VALUE(INDEX(IdClientes,MATCH(OF2,Clientes,0))))</f>
        <v>#VALUE!</v>
      </c>
      <c r="OG3" s="28" t="e" cm="1" vm="1">
        <f t="array" ref="OG3">_xlfn._xlws.FILTER(Rutas,_xlfn._xlws.FILTER($B$2:$B$10000,$B$2:$B$10000&lt;&gt;"")=VALUE(INDEX(IdClientes,MATCH(OG2,Clientes,0))))</f>
        <v>#VALUE!</v>
      </c>
      <c r="OH3" s="28" t="e" cm="1" vm="1">
        <f t="array" ref="OH3">_xlfn._xlws.FILTER(Rutas,_xlfn._xlws.FILTER($B$2:$B$10000,$B$2:$B$10000&lt;&gt;"")=VALUE(INDEX(IdClientes,MATCH(OH2,Clientes,0))))</f>
        <v>#VALUE!</v>
      </c>
      <c r="OI3" s="28" t="e" cm="1" vm="1">
        <f t="array" ref="OI3">_xlfn._xlws.FILTER(Rutas,_xlfn._xlws.FILTER($B$2:$B$10000,$B$2:$B$10000&lt;&gt;"")=VALUE(INDEX(IdClientes,MATCH(OI2,Clientes,0))))</f>
        <v>#VALUE!</v>
      </c>
      <c r="OJ3" s="28" t="e" cm="1" vm="1">
        <f t="array" ref="OJ3">_xlfn._xlws.FILTER(Rutas,_xlfn._xlws.FILTER($B$2:$B$10000,$B$2:$B$10000&lt;&gt;"")=VALUE(INDEX(IdClientes,MATCH(OJ2,Clientes,0))))</f>
        <v>#VALUE!</v>
      </c>
      <c r="OK3" s="28" t="e" cm="1" vm="1">
        <f t="array" ref="OK3">_xlfn._xlws.FILTER(Rutas,_xlfn._xlws.FILTER($B$2:$B$10000,$B$2:$B$10000&lt;&gt;"")=VALUE(INDEX(IdClientes,MATCH(OK2,Clientes,0))))</f>
        <v>#VALUE!</v>
      </c>
      <c r="OL3" s="28" t="e" cm="1" vm="1">
        <f t="array" ref="OL3">_xlfn._xlws.FILTER(Rutas,_xlfn._xlws.FILTER($B$2:$B$10000,$B$2:$B$10000&lt;&gt;"")=VALUE(INDEX(IdClientes,MATCH(OL2,Clientes,0))))</f>
        <v>#VALUE!</v>
      </c>
      <c r="OM3" s="28" t="e" cm="1" vm="1">
        <f t="array" ref="OM3">_xlfn._xlws.FILTER(Rutas,_xlfn._xlws.FILTER($B$2:$B$10000,$B$2:$B$10000&lt;&gt;"")=VALUE(INDEX(IdClientes,MATCH(OM2,Clientes,0))))</f>
        <v>#VALUE!</v>
      </c>
      <c r="ON3" s="28" t="e" cm="1" vm="1">
        <f t="array" ref="ON3">_xlfn._xlws.FILTER(Rutas,_xlfn._xlws.FILTER($B$2:$B$10000,$B$2:$B$10000&lt;&gt;"")=VALUE(INDEX(IdClientes,MATCH(ON2,Clientes,0))))</f>
        <v>#VALUE!</v>
      </c>
      <c r="OO3" s="28" t="e" cm="1" vm="1">
        <f t="array" ref="OO3">_xlfn._xlws.FILTER(Rutas,_xlfn._xlws.FILTER($B$2:$B$10000,$B$2:$B$10000&lt;&gt;"")=VALUE(INDEX(IdClientes,MATCH(OO2,Clientes,0))))</f>
        <v>#VALUE!</v>
      </c>
      <c r="OP3" s="28" t="e" cm="1" vm="1">
        <f t="array" ref="OP3">_xlfn._xlws.FILTER(Rutas,_xlfn._xlws.FILTER($B$2:$B$10000,$B$2:$B$10000&lt;&gt;"")=VALUE(INDEX(IdClientes,MATCH(OP2,Clientes,0))))</f>
        <v>#VALUE!</v>
      </c>
      <c r="OQ3" s="28" t="e" cm="1" vm="1">
        <f t="array" ref="OQ3">_xlfn._xlws.FILTER(Rutas,_xlfn._xlws.FILTER($B$2:$B$10000,$B$2:$B$10000&lt;&gt;"")=VALUE(INDEX(IdClientes,MATCH(OQ2,Clientes,0))))</f>
        <v>#VALUE!</v>
      </c>
      <c r="OR3" s="28" t="e" cm="1" vm="1">
        <f t="array" ref="OR3">_xlfn._xlws.FILTER(Rutas,_xlfn._xlws.FILTER($B$2:$B$10000,$B$2:$B$10000&lt;&gt;"")=VALUE(INDEX(IdClientes,MATCH(OR2,Clientes,0))))</f>
        <v>#VALUE!</v>
      </c>
      <c r="OS3" s="28" t="e" cm="1" vm="1">
        <f t="array" ref="OS3">_xlfn._xlws.FILTER(Rutas,_xlfn._xlws.FILTER($B$2:$B$10000,$B$2:$B$10000&lt;&gt;"")=VALUE(INDEX(IdClientes,MATCH(OS2,Clientes,0))))</f>
        <v>#VALUE!</v>
      </c>
      <c r="OT3" s="28" t="e" cm="1" vm="1">
        <f t="array" ref="OT3">_xlfn._xlws.FILTER(Rutas,_xlfn._xlws.FILTER($B$2:$B$10000,$B$2:$B$10000&lt;&gt;"")=VALUE(INDEX(IdClientes,MATCH(OT2,Clientes,0))))</f>
        <v>#VALUE!</v>
      </c>
      <c r="OU3" s="28" t="e" cm="1" vm="1">
        <f t="array" ref="OU3">_xlfn._xlws.FILTER(Rutas,_xlfn._xlws.FILTER($B$2:$B$10000,$B$2:$B$10000&lt;&gt;"")=VALUE(INDEX(IdClientes,MATCH(OU2,Clientes,0))))</f>
        <v>#VALUE!</v>
      </c>
      <c r="OV3" s="28" t="e" cm="1" vm="1">
        <f t="array" ref="OV3">_xlfn._xlws.FILTER(Rutas,_xlfn._xlws.FILTER($B$2:$B$10000,$B$2:$B$10000&lt;&gt;"")=VALUE(INDEX(IdClientes,MATCH(OV2,Clientes,0))))</f>
        <v>#VALUE!</v>
      </c>
      <c r="OW3" s="28" t="e" cm="1" vm="1">
        <f t="array" ref="OW3">_xlfn._xlws.FILTER(Rutas,_xlfn._xlws.FILTER($B$2:$B$10000,$B$2:$B$10000&lt;&gt;"")=VALUE(INDEX(IdClientes,MATCH(OW2,Clientes,0))))</f>
        <v>#VALUE!</v>
      </c>
      <c r="OX3" s="28" t="e" cm="1" vm="1">
        <f t="array" ref="OX3">_xlfn._xlws.FILTER(Rutas,_xlfn._xlws.FILTER($B$2:$B$10000,$B$2:$B$10000&lt;&gt;"")=VALUE(INDEX(IdClientes,MATCH(OX2,Clientes,0))))</f>
        <v>#VALUE!</v>
      </c>
      <c r="OY3" s="28" t="e" cm="1" vm="1">
        <f t="array" ref="OY3">_xlfn._xlws.FILTER(Rutas,_xlfn._xlws.FILTER($B$2:$B$10000,$B$2:$B$10000&lt;&gt;"")=VALUE(INDEX(IdClientes,MATCH(OY2,Clientes,0))))</f>
        <v>#VALUE!</v>
      </c>
      <c r="OZ3" s="28" t="e" cm="1" vm="1">
        <f t="array" ref="OZ3">_xlfn._xlws.FILTER(Rutas,_xlfn._xlws.FILTER($B$2:$B$10000,$B$2:$B$10000&lt;&gt;"")=VALUE(INDEX(IdClientes,MATCH(OZ2,Clientes,0))))</f>
        <v>#VALUE!</v>
      </c>
      <c r="PA3" s="28" t="e" cm="1" vm="1">
        <f t="array" ref="PA3">_xlfn._xlws.FILTER(Rutas,_xlfn._xlws.FILTER($B$2:$B$10000,$B$2:$B$10000&lt;&gt;"")=VALUE(INDEX(IdClientes,MATCH(PA2,Clientes,0))))</f>
        <v>#VALUE!</v>
      </c>
      <c r="PB3" s="28" t="e" cm="1" vm="1">
        <f t="array" ref="PB3">_xlfn._xlws.FILTER(Rutas,_xlfn._xlws.FILTER($B$2:$B$10000,$B$2:$B$10000&lt;&gt;"")=VALUE(INDEX(IdClientes,MATCH(PB2,Clientes,0))))</f>
        <v>#VALUE!</v>
      </c>
      <c r="PC3" s="28" t="e" cm="1" vm="1">
        <f t="array" ref="PC3">_xlfn._xlws.FILTER(Rutas,_xlfn._xlws.FILTER($B$2:$B$10000,$B$2:$B$10000&lt;&gt;"")=VALUE(INDEX(IdClientes,MATCH(PC2,Clientes,0))))</f>
        <v>#VALUE!</v>
      </c>
      <c r="PD3" s="28" t="e" cm="1" vm="1">
        <f t="array" ref="PD3">_xlfn._xlws.FILTER(Rutas,_xlfn._xlws.FILTER($B$2:$B$10000,$B$2:$B$10000&lt;&gt;"")=VALUE(INDEX(IdClientes,MATCH(PD2,Clientes,0))))</f>
        <v>#VALUE!</v>
      </c>
      <c r="PE3" s="28" t="e" cm="1" vm="1">
        <f t="array" ref="PE3">_xlfn._xlws.FILTER(Rutas,_xlfn._xlws.FILTER($B$2:$B$10000,$B$2:$B$10000&lt;&gt;"")=VALUE(INDEX(IdClientes,MATCH(PE2,Clientes,0))))</f>
        <v>#VALUE!</v>
      </c>
      <c r="PF3" s="28" t="e" cm="1" vm="1">
        <f t="array" ref="PF3">_xlfn._xlws.FILTER(Rutas,_xlfn._xlws.FILTER($B$2:$B$10000,$B$2:$B$10000&lt;&gt;"")=VALUE(INDEX(IdClientes,MATCH(PF2,Clientes,0))))</f>
        <v>#VALUE!</v>
      </c>
      <c r="PG3" s="28" t="e" cm="1" vm="1">
        <f t="array" ref="PG3">_xlfn._xlws.FILTER(Rutas,_xlfn._xlws.FILTER($B$2:$B$10000,$B$2:$B$10000&lt;&gt;"")=VALUE(INDEX(IdClientes,MATCH(PG2,Clientes,0))))</f>
        <v>#VALUE!</v>
      </c>
      <c r="PH3" s="28" t="e" cm="1" vm="1">
        <f t="array" ref="PH3">_xlfn._xlws.FILTER(Rutas,_xlfn._xlws.FILTER($B$2:$B$10000,$B$2:$B$10000&lt;&gt;"")=VALUE(INDEX(IdClientes,MATCH(PH2,Clientes,0))))</f>
        <v>#VALUE!</v>
      </c>
      <c r="PI3" s="28" t="e" cm="1" vm="1">
        <f t="array" ref="PI3">_xlfn._xlws.FILTER(Rutas,_xlfn._xlws.FILTER($B$2:$B$10000,$B$2:$B$10000&lt;&gt;"")=VALUE(INDEX(IdClientes,MATCH(PI2,Clientes,0))))</f>
        <v>#VALUE!</v>
      </c>
      <c r="PJ3" s="28" t="e" cm="1" vm="1">
        <f t="array" ref="PJ3">_xlfn._xlws.FILTER(Rutas,_xlfn._xlws.FILTER($B$2:$B$10000,$B$2:$B$10000&lt;&gt;"")=VALUE(INDEX(IdClientes,MATCH(PJ2,Clientes,0))))</f>
        <v>#VALUE!</v>
      </c>
      <c r="PK3" s="28" t="e" cm="1" vm="1">
        <f t="array" ref="PK3">_xlfn._xlws.FILTER(Rutas,_xlfn._xlws.FILTER($B$2:$B$10000,$B$2:$B$10000&lt;&gt;"")=VALUE(INDEX(IdClientes,MATCH(PK2,Clientes,0))))</f>
        <v>#VALUE!</v>
      </c>
      <c r="PL3" s="28" t="e" cm="1" vm="1">
        <f t="array" ref="PL3">_xlfn._xlws.FILTER(Rutas,_xlfn._xlws.FILTER($B$2:$B$10000,$B$2:$B$10000&lt;&gt;"")=VALUE(INDEX(IdClientes,MATCH(PL2,Clientes,0))))</f>
        <v>#VALUE!</v>
      </c>
      <c r="PM3" s="28" t="e" cm="1" vm="1">
        <f t="array" ref="PM3">_xlfn._xlws.FILTER(Rutas,_xlfn._xlws.FILTER($B$2:$B$10000,$B$2:$B$10000&lt;&gt;"")=VALUE(INDEX(IdClientes,MATCH(PM2,Clientes,0))))</f>
        <v>#VALUE!</v>
      </c>
      <c r="PN3" s="28" t="e" cm="1" vm="1">
        <f t="array" ref="PN3">_xlfn._xlws.FILTER(Rutas,_xlfn._xlws.FILTER($B$2:$B$10000,$B$2:$B$10000&lt;&gt;"")=VALUE(INDEX(IdClientes,MATCH(PN2,Clientes,0))))</f>
        <v>#VALUE!</v>
      </c>
      <c r="PO3" s="28" t="e" cm="1" vm="1">
        <f t="array" ref="PO3">_xlfn._xlws.FILTER(Rutas,_xlfn._xlws.FILTER($B$2:$B$10000,$B$2:$B$10000&lt;&gt;"")=VALUE(INDEX(IdClientes,MATCH(PO2,Clientes,0))))</f>
        <v>#VALUE!</v>
      </c>
      <c r="PP3" s="28" t="e" cm="1" vm="1">
        <f t="array" ref="PP3">_xlfn._xlws.FILTER(Rutas,_xlfn._xlws.FILTER($B$2:$B$10000,$B$2:$B$10000&lt;&gt;"")=VALUE(INDEX(IdClientes,MATCH(PP2,Clientes,0))))</f>
        <v>#VALUE!</v>
      </c>
      <c r="PQ3" s="28" t="e" cm="1" vm="1">
        <f t="array" ref="PQ3">_xlfn._xlws.FILTER(Rutas,_xlfn._xlws.FILTER($B$2:$B$10000,$B$2:$B$10000&lt;&gt;"")=VALUE(INDEX(IdClientes,MATCH(PQ2,Clientes,0))))</f>
        <v>#VALUE!</v>
      </c>
      <c r="PR3" s="28" t="e" cm="1" vm="1">
        <f t="array" ref="PR3">_xlfn._xlws.FILTER(Rutas,_xlfn._xlws.FILTER($B$2:$B$10000,$B$2:$B$10000&lt;&gt;"")=VALUE(INDEX(IdClientes,MATCH(PR2,Clientes,0))))</f>
        <v>#VALUE!</v>
      </c>
      <c r="PS3" s="28" t="e" cm="1" vm="1">
        <f t="array" ref="PS3">_xlfn._xlws.FILTER(Rutas,_xlfn._xlws.FILTER($B$2:$B$10000,$B$2:$B$10000&lt;&gt;"")=VALUE(INDEX(IdClientes,MATCH(PS2,Clientes,0))))</f>
        <v>#VALUE!</v>
      </c>
      <c r="PT3" s="28" t="e" cm="1" vm="1">
        <f t="array" ref="PT3">_xlfn._xlws.FILTER(Rutas,_xlfn._xlws.FILTER($B$2:$B$10000,$B$2:$B$10000&lt;&gt;"")=VALUE(INDEX(IdClientes,MATCH(PT2,Clientes,0))))</f>
        <v>#VALUE!</v>
      </c>
      <c r="PU3" s="28" t="e" cm="1" vm="1">
        <f t="array" ref="PU3">_xlfn._xlws.FILTER(Rutas,_xlfn._xlws.FILTER($B$2:$B$10000,$B$2:$B$10000&lt;&gt;"")=VALUE(INDEX(IdClientes,MATCH(PU2,Clientes,0))))</f>
        <v>#VALUE!</v>
      </c>
      <c r="PV3" s="28" t="e" cm="1" vm="1">
        <f t="array" ref="PV3">_xlfn._xlws.FILTER(Rutas,_xlfn._xlws.FILTER($B$2:$B$10000,$B$2:$B$10000&lt;&gt;"")=VALUE(INDEX(IdClientes,MATCH(PV2,Clientes,0))))</f>
        <v>#VALUE!</v>
      </c>
      <c r="PW3" s="28" t="e" cm="1" vm="1">
        <f t="array" ref="PW3">_xlfn._xlws.FILTER(Rutas,_xlfn._xlws.FILTER($B$2:$B$10000,$B$2:$B$10000&lt;&gt;"")=VALUE(INDEX(IdClientes,MATCH(PW2,Clientes,0))))</f>
        <v>#VALUE!</v>
      </c>
      <c r="PX3" s="28" t="e" cm="1" vm="1">
        <f t="array" ref="PX3">_xlfn._xlws.FILTER(Rutas,_xlfn._xlws.FILTER($B$2:$B$10000,$B$2:$B$10000&lt;&gt;"")=VALUE(INDEX(IdClientes,MATCH(PX2,Clientes,0))))</f>
        <v>#VALUE!</v>
      </c>
      <c r="PY3" s="28" t="e" cm="1" vm="1">
        <f t="array" ref="PY3">_xlfn._xlws.FILTER(Rutas,_xlfn._xlws.FILTER($B$2:$B$10000,$B$2:$B$10000&lt;&gt;"")=VALUE(INDEX(IdClientes,MATCH(PY2,Clientes,0))))</f>
        <v>#VALUE!</v>
      </c>
      <c r="PZ3" s="28" t="e" cm="1" vm="1">
        <f t="array" ref="PZ3">_xlfn._xlws.FILTER(Rutas,_xlfn._xlws.FILTER($B$2:$B$10000,$B$2:$B$10000&lt;&gt;"")=VALUE(INDEX(IdClientes,MATCH(PZ2,Clientes,0))))</f>
        <v>#VALUE!</v>
      </c>
      <c r="QA3" s="28" t="e" cm="1" vm="1">
        <f t="array" ref="QA3">_xlfn._xlws.FILTER(Rutas,_xlfn._xlws.FILTER($B$2:$B$10000,$B$2:$B$10000&lt;&gt;"")=VALUE(INDEX(IdClientes,MATCH(QA2,Clientes,0))))</f>
        <v>#VALUE!</v>
      </c>
      <c r="QB3" s="28" t="e" cm="1" vm="1">
        <f t="array" ref="QB3">_xlfn._xlws.FILTER(Rutas,_xlfn._xlws.FILTER($B$2:$B$10000,$B$2:$B$10000&lt;&gt;"")=VALUE(INDEX(IdClientes,MATCH(QB2,Clientes,0))))</f>
        <v>#VALUE!</v>
      </c>
      <c r="QC3" s="28" t="e" cm="1" vm="1">
        <f t="array" ref="QC3">_xlfn._xlws.FILTER(Rutas,_xlfn._xlws.FILTER($B$2:$B$10000,$B$2:$B$10000&lt;&gt;"")=VALUE(INDEX(IdClientes,MATCH(QC2,Clientes,0))))</f>
        <v>#VALUE!</v>
      </c>
      <c r="QD3" s="28" t="e" cm="1" vm="1">
        <f t="array" ref="QD3">_xlfn._xlws.FILTER(Rutas,_xlfn._xlws.FILTER($B$2:$B$10000,$B$2:$B$10000&lt;&gt;"")=VALUE(INDEX(IdClientes,MATCH(QD2,Clientes,0))))</f>
        <v>#VALUE!</v>
      </c>
      <c r="QE3" s="28" t="e" cm="1" vm="1">
        <f t="array" ref="QE3">_xlfn._xlws.FILTER(Rutas,_xlfn._xlws.FILTER($B$2:$B$10000,$B$2:$B$10000&lt;&gt;"")=VALUE(INDEX(IdClientes,MATCH(QE2,Clientes,0))))</f>
        <v>#VALUE!</v>
      </c>
      <c r="QF3" s="28" t="e" cm="1" vm="1">
        <f t="array" ref="QF3">_xlfn._xlws.FILTER(Rutas,_xlfn._xlws.FILTER($B$2:$B$10000,$B$2:$B$10000&lt;&gt;"")=VALUE(INDEX(IdClientes,MATCH(QF2,Clientes,0))))</f>
        <v>#VALUE!</v>
      </c>
      <c r="QG3" s="28" t="e" cm="1" vm="1">
        <f t="array" ref="QG3">_xlfn._xlws.FILTER(Rutas,_xlfn._xlws.FILTER($B$2:$B$10000,$B$2:$B$10000&lt;&gt;"")=VALUE(INDEX(IdClientes,MATCH(QG2,Clientes,0))))</f>
        <v>#VALUE!</v>
      </c>
      <c r="QH3" s="28" t="e" cm="1" vm="1">
        <f t="array" ref="QH3">_xlfn._xlws.FILTER(Rutas,_xlfn._xlws.FILTER($B$2:$B$10000,$B$2:$B$10000&lt;&gt;"")=VALUE(INDEX(IdClientes,MATCH(QH2,Clientes,0))))</f>
        <v>#VALUE!</v>
      </c>
      <c r="QI3" s="28" t="e" cm="1" vm="1">
        <f t="array" ref="QI3">_xlfn._xlws.FILTER(Rutas,_xlfn._xlws.FILTER($B$2:$B$10000,$B$2:$B$10000&lt;&gt;"")=VALUE(INDEX(IdClientes,MATCH(QI2,Clientes,0))))</f>
        <v>#VALUE!</v>
      </c>
      <c r="QJ3" s="28" t="e" cm="1" vm="1">
        <f t="array" ref="QJ3">_xlfn._xlws.FILTER(Rutas,_xlfn._xlws.FILTER($B$2:$B$10000,$B$2:$B$10000&lt;&gt;"")=VALUE(INDEX(IdClientes,MATCH(QJ2,Clientes,0))))</f>
        <v>#VALUE!</v>
      </c>
      <c r="QK3" s="28" t="e" cm="1" vm="1">
        <f t="array" ref="QK3">_xlfn._xlws.FILTER(Rutas,_xlfn._xlws.FILTER($B$2:$B$10000,$B$2:$B$10000&lt;&gt;"")=VALUE(INDEX(IdClientes,MATCH(QK2,Clientes,0))))</f>
        <v>#VALUE!</v>
      </c>
      <c r="QL3" s="28" t="e" cm="1" vm="1">
        <f t="array" ref="QL3">_xlfn._xlws.FILTER(Rutas,_xlfn._xlws.FILTER($B$2:$B$10000,$B$2:$B$10000&lt;&gt;"")=VALUE(INDEX(IdClientes,MATCH(QL2,Clientes,0))))</f>
        <v>#VALUE!</v>
      </c>
      <c r="QM3" s="28" t="e" cm="1" vm="1">
        <f t="array" ref="QM3">_xlfn._xlws.FILTER(Rutas,_xlfn._xlws.FILTER($B$2:$B$10000,$B$2:$B$10000&lt;&gt;"")=VALUE(INDEX(IdClientes,MATCH(QM2,Clientes,0))))</f>
        <v>#VALUE!</v>
      </c>
      <c r="QN3" s="28" t="e" cm="1" vm="1">
        <f t="array" ref="QN3">_xlfn._xlws.FILTER(Rutas,_xlfn._xlws.FILTER($B$2:$B$10000,$B$2:$B$10000&lt;&gt;"")=VALUE(INDEX(IdClientes,MATCH(QN2,Clientes,0))))</f>
        <v>#VALUE!</v>
      </c>
      <c r="QO3" s="28" t="e" cm="1" vm="1">
        <f t="array" ref="QO3">_xlfn._xlws.FILTER(Rutas,_xlfn._xlws.FILTER($B$2:$B$10000,$B$2:$B$10000&lt;&gt;"")=VALUE(INDEX(IdClientes,MATCH(QO2,Clientes,0))))</f>
        <v>#VALUE!</v>
      </c>
      <c r="QP3" s="28" t="e" cm="1" vm="1">
        <f t="array" ref="QP3">_xlfn._xlws.FILTER(Rutas,_xlfn._xlws.FILTER($B$2:$B$10000,$B$2:$B$10000&lt;&gt;"")=VALUE(INDEX(IdClientes,MATCH(QP2,Clientes,0))))</f>
        <v>#VALUE!</v>
      </c>
      <c r="QQ3" s="28" t="e" cm="1" vm="1">
        <f t="array" ref="QQ3">_xlfn._xlws.FILTER(Rutas,_xlfn._xlws.FILTER($B$2:$B$10000,$B$2:$B$10000&lt;&gt;"")=VALUE(INDEX(IdClientes,MATCH(QQ2,Clientes,0))))</f>
        <v>#VALUE!</v>
      </c>
      <c r="QR3" s="28" t="e" cm="1" vm="1">
        <f t="array" ref="QR3">_xlfn._xlws.FILTER(Rutas,_xlfn._xlws.FILTER($B$2:$B$10000,$B$2:$B$10000&lt;&gt;"")=VALUE(INDEX(IdClientes,MATCH(QR2,Clientes,0))))</f>
        <v>#VALUE!</v>
      </c>
      <c r="QS3" s="28" t="e" cm="1" vm="1">
        <f t="array" ref="QS3">_xlfn._xlws.FILTER(Rutas,_xlfn._xlws.FILTER($B$2:$B$10000,$B$2:$B$10000&lt;&gt;"")=VALUE(INDEX(IdClientes,MATCH(QS2,Clientes,0))))</f>
        <v>#VALUE!</v>
      </c>
      <c r="QT3" s="28" t="e" cm="1" vm="1">
        <f t="array" ref="QT3">_xlfn._xlws.FILTER(Rutas,_xlfn._xlws.FILTER($B$2:$B$10000,$B$2:$B$10000&lt;&gt;"")=VALUE(INDEX(IdClientes,MATCH(QT2,Clientes,0))))</f>
        <v>#VALUE!</v>
      </c>
      <c r="QU3" s="28" t="e" cm="1" vm="1">
        <f t="array" ref="QU3">_xlfn._xlws.FILTER(Rutas,_xlfn._xlws.FILTER($B$2:$B$10000,$B$2:$B$10000&lt;&gt;"")=VALUE(INDEX(IdClientes,MATCH(QU2,Clientes,0))))</f>
        <v>#VALUE!</v>
      </c>
      <c r="QV3" s="28" t="e" cm="1" vm="1">
        <f t="array" ref="QV3">_xlfn._xlws.FILTER(Rutas,_xlfn._xlws.FILTER($B$2:$B$10000,$B$2:$B$10000&lt;&gt;"")=VALUE(INDEX(IdClientes,MATCH(QV2,Clientes,0))))</f>
        <v>#VALUE!</v>
      </c>
      <c r="QW3" s="28" t="e" cm="1" vm="1">
        <f t="array" ref="QW3">_xlfn._xlws.FILTER(Rutas,_xlfn._xlws.FILTER($B$2:$B$10000,$B$2:$B$10000&lt;&gt;"")=VALUE(INDEX(IdClientes,MATCH(QW2,Clientes,0))))</f>
        <v>#VALUE!</v>
      </c>
      <c r="QX3" s="28" t="e" cm="1" vm="1">
        <f t="array" ref="QX3">_xlfn._xlws.FILTER(Rutas,_xlfn._xlws.FILTER($B$2:$B$10000,$B$2:$B$10000&lt;&gt;"")=VALUE(INDEX(IdClientes,MATCH(QX2,Clientes,0))))</f>
        <v>#VALUE!</v>
      </c>
      <c r="QY3" s="28" t="e" cm="1" vm="1">
        <f t="array" ref="QY3">_xlfn._xlws.FILTER(Rutas,_xlfn._xlws.FILTER($B$2:$B$10000,$B$2:$B$10000&lt;&gt;"")=VALUE(INDEX(IdClientes,MATCH(QY2,Clientes,0))))</f>
        <v>#VALUE!</v>
      </c>
      <c r="QZ3" s="28" t="e" cm="1" vm="1">
        <f t="array" ref="QZ3">_xlfn._xlws.FILTER(Rutas,_xlfn._xlws.FILTER($B$2:$B$10000,$B$2:$B$10000&lt;&gt;"")=VALUE(INDEX(IdClientes,MATCH(QZ2,Clientes,0))))</f>
        <v>#VALUE!</v>
      </c>
      <c r="RA3" s="28" t="e" cm="1" vm="1">
        <f t="array" ref="RA3">_xlfn._xlws.FILTER(Rutas,_xlfn._xlws.FILTER($B$2:$B$10000,$B$2:$B$10000&lt;&gt;"")=VALUE(INDEX(IdClientes,MATCH(RA2,Clientes,0))))</f>
        <v>#VALUE!</v>
      </c>
      <c r="RB3" s="28" t="e" cm="1" vm="1">
        <f t="array" ref="RB3">_xlfn._xlws.FILTER(Rutas,_xlfn._xlws.FILTER($B$2:$B$10000,$B$2:$B$10000&lt;&gt;"")=VALUE(INDEX(IdClientes,MATCH(RB2,Clientes,0))))</f>
        <v>#VALUE!</v>
      </c>
      <c r="RC3" s="28" t="e" cm="1" vm="1">
        <f t="array" ref="RC3">_xlfn._xlws.FILTER(Rutas,_xlfn._xlws.FILTER($B$2:$B$10000,$B$2:$B$10000&lt;&gt;"")=VALUE(INDEX(IdClientes,MATCH(RC2,Clientes,0))))</f>
        <v>#VALUE!</v>
      </c>
      <c r="RD3" s="28" t="e" cm="1" vm="1">
        <f t="array" ref="RD3">_xlfn._xlws.FILTER(Rutas,_xlfn._xlws.FILTER($B$2:$B$10000,$B$2:$B$10000&lt;&gt;"")=VALUE(INDEX(IdClientes,MATCH(RD2,Clientes,0))))</f>
        <v>#VALUE!</v>
      </c>
      <c r="RE3" s="28" t="e" cm="1" vm="1">
        <f t="array" ref="RE3">_xlfn._xlws.FILTER(Rutas,_xlfn._xlws.FILTER($B$2:$B$10000,$B$2:$B$10000&lt;&gt;"")=VALUE(INDEX(IdClientes,MATCH(RE2,Clientes,0))))</f>
        <v>#VALUE!</v>
      </c>
      <c r="RF3" s="28" t="e" cm="1" vm="1">
        <f t="array" ref="RF3">_xlfn._xlws.FILTER(Rutas,_xlfn._xlws.FILTER($B$2:$B$10000,$B$2:$B$10000&lt;&gt;"")=VALUE(INDEX(IdClientes,MATCH(RF2,Clientes,0))))</f>
        <v>#VALUE!</v>
      </c>
      <c r="RG3" s="28" t="e" cm="1" vm="1">
        <f t="array" ref="RG3">_xlfn._xlws.FILTER(Rutas,_xlfn._xlws.FILTER($B$2:$B$10000,$B$2:$B$10000&lt;&gt;"")=VALUE(INDEX(IdClientes,MATCH(RG2,Clientes,0))))</f>
        <v>#VALUE!</v>
      </c>
      <c r="RH3" s="28" t="e" cm="1" vm="1">
        <f t="array" ref="RH3">_xlfn._xlws.FILTER(Rutas,_xlfn._xlws.FILTER($B$2:$B$10000,$B$2:$B$10000&lt;&gt;"")=VALUE(INDEX(IdClientes,MATCH(RH2,Clientes,0))))</f>
        <v>#VALUE!</v>
      </c>
      <c r="RI3" s="28" t="e" cm="1" vm="1">
        <f t="array" ref="RI3">_xlfn._xlws.FILTER(Rutas,_xlfn._xlws.FILTER($B$2:$B$10000,$B$2:$B$10000&lt;&gt;"")=VALUE(INDEX(IdClientes,MATCH(RI2,Clientes,0))))</f>
        <v>#VALUE!</v>
      </c>
      <c r="RJ3" s="28" t="e" cm="1" vm="1">
        <f t="array" ref="RJ3">_xlfn._xlws.FILTER(Rutas,_xlfn._xlws.FILTER($B$2:$B$10000,$B$2:$B$10000&lt;&gt;"")=VALUE(INDEX(IdClientes,MATCH(RJ2,Clientes,0))))</f>
        <v>#VALUE!</v>
      </c>
      <c r="RK3" s="28" t="e" cm="1" vm="1">
        <f t="array" ref="RK3">_xlfn._xlws.FILTER(Rutas,_xlfn._xlws.FILTER($B$2:$B$10000,$B$2:$B$10000&lt;&gt;"")=VALUE(INDEX(IdClientes,MATCH(RK2,Clientes,0))))</f>
        <v>#VALUE!</v>
      </c>
      <c r="RL3" s="28" t="e" cm="1" vm="1">
        <f t="array" ref="RL3">_xlfn._xlws.FILTER(Rutas,_xlfn._xlws.FILTER($B$2:$B$10000,$B$2:$B$10000&lt;&gt;"")=VALUE(INDEX(IdClientes,MATCH(RL2,Clientes,0))))</f>
        <v>#VALUE!</v>
      </c>
      <c r="RM3" s="28" t="e" cm="1" vm="1">
        <f t="array" ref="RM3">_xlfn._xlws.FILTER(Rutas,_xlfn._xlws.FILTER($B$2:$B$10000,$B$2:$B$10000&lt;&gt;"")=VALUE(INDEX(IdClientes,MATCH(RM2,Clientes,0))))</f>
        <v>#VALUE!</v>
      </c>
      <c r="RN3" s="28" t="e" cm="1" vm="1">
        <f t="array" ref="RN3">_xlfn._xlws.FILTER(Rutas,_xlfn._xlws.FILTER($B$2:$B$10000,$B$2:$B$10000&lt;&gt;"")=VALUE(INDEX(IdClientes,MATCH(RN2,Clientes,0))))</f>
        <v>#VALUE!</v>
      </c>
      <c r="RO3" s="28" t="e" cm="1" vm="1">
        <f t="array" ref="RO3">_xlfn._xlws.FILTER(Rutas,_xlfn._xlws.FILTER($B$2:$B$10000,$B$2:$B$10000&lt;&gt;"")=VALUE(INDEX(IdClientes,MATCH(RO2,Clientes,0))))</f>
        <v>#VALUE!</v>
      </c>
      <c r="RP3" s="28" t="e" cm="1" vm="1">
        <f t="array" ref="RP3">_xlfn._xlws.FILTER(Rutas,_xlfn._xlws.FILTER($B$2:$B$10000,$B$2:$B$10000&lt;&gt;"")=VALUE(INDEX(IdClientes,MATCH(RP2,Clientes,0))))</f>
        <v>#VALUE!</v>
      </c>
      <c r="RQ3" s="28" t="e" cm="1" vm="1">
        <f t="array" ref="RQ3">_xlfn._xlws.FILTER(Rutas,_xlfn._xlws.FILTER($B$2:$B$10000,$B$2:$B$10000&lt;&gt;"")=VALUE(INDEX(IdClientes,MATCH(RQ2,Clientes,0))))</f>
        <v>#VALUE!</v>
      </c>
      <c r="RR3" s="28" t="e" cm="1" vm="1">
        <f t="array" ref="RR3">_xlfn._xlws.FILTER(Rutas,_xlfn._xlws.FILTER($B$2:$B$10000,$B$2:$B$10000&lt;&gt;"")=VALUE(INDEX(IdClientes,MATCH(RR2,Clientes,0))))</f>
        <v>#VALUE!</v>
      </c>
      <c r="RS3" s="28" t="e" cm="1" vm="1">
        <f t="array" ref="RS3">_xlfn._xlws.FILTER(Rutas,_xlfn._xlws.FILTER($B$2:$B$10000,$B$2:$B$10000&lt;&gt;"")=VALUE(INDEX(IdClientes,MATCH(RS2,Clientes,0))))</f>
        <v>#VALUE!</v>
      </c>
      <c r="RT3" s="28" t="e" cm="1" vm="1">
        <f t="array" ref="RT3">_xlfn._xlws.FILTER(Rutas,_xlfn._xlws.FILTER($B$2:$B$10000,$B$2:$B$10000&lt;&gt;"")=VALUE(INDEX(IdClientes,MATCH(RT2,Clientes,0))))</f>
        <v>#VALUE!</v>
      </c>
      <c r="RU3" s="28" t="e" cm="1" vm="1">
        <f t="array" ref="RU3">_xlfn._xlws.FILTER(Rutas,_xlfn._xlws.FILTER($B$2:$B$10000,$B$2:$B$10000&lt;&gt;"")=VALUE(INDEX(IdClientes,MATCH(RU2,Clientes,0))))</f>
        <v>#VALUE!</v>
      </c>
      <c r="RV3" s="28" t="e" cm="1" vm="1">
        <f t="array" ref="RV3">_xlfn._xlws.FILTER(Rutas,_xlfn._xlws.FILTER($B$2:$B$10000,$B$2:$B$10000&lt;&gt;"")=VALUE(INDEX(IdClientes,MATCH(RV2,Clientes,0))))</f>
        <v>#VALUE!</v>
      </c>
      <c r="RW3" s="28" t="e" cm="1" vm="1">
        <f t="array" ref="RW3">_xlfn._xlws.FILTER(Rutas,_xlfn._xlws.FILTER($B$2:$B$10000,$B$2:$B$10000&lt;&gt;"")=VALUE(INDEX(IdClientes,MATCH(RW2,Clientes,0))))</f>
        <v>#VALUE!</v>
      </c>
      <c r="RX3" s="28" t="e" cm="1" vm="1">
        <f t="array" ref="RX3">_xlfn._xlws.FILTER(Rutas,_xlfn._xlws.FILTER($B$2:$B$10000,$B$2:$B$10000&lt;&gt;"")=VALUE(INDEX(IdClientes,MATCH(RX2,Clientes,0))))</f>
        <v>#VALUE!</v>
      </c>
      <c r="RY3" s="28" t="e" cm="1" vm="1">
        <f t="array" ref="RY3">_xlfn._xlws.FILTER(Rutas,_xlfn._xlws.FILTER($B$2:$B$10000,$B$2:$B$10000&lt;&gt;"")=VALUE(INDEX(IdClientes,MATCH(RY2,Clientes,0))))</f>
        <v>#VALUE!</v>
      </c>
      <c r="RZ3" s="28" t="e" cm="1" vm="1">
        <f t="array" ref="RZ3">_xlfn._xlws.FILTER(Rutas,_xlfn._xlws.FILTER($B$2:$B$10000,$B$2:$B$10000&lt;&gt;"")=VALUE(INDEX(IdClientes,MATCH(RZ2,Clientes,0))))</f>
        <v>#VALUE!</v>
      </c>
      <c r="SA3" s="28" t="e" cm="1" vm="1">
        <f t="array" ref="SA3">_xlfn._xlws.FILTER(Rutas,_xlfn._xlws.FILTER($B$2:$B$10000,$B$2:$B$10000&lt;&gt;"")=VALUE(INDEX(IdClientes,MATCH(SA2,Clientes,0))))</f>
        <v>#VALUE!</v>
      </c>
      <c r="SB3" s="28" t="e" cm="1" vm="1">
        <f t="array" ref="SB3">_xlfn._xlws.FILTER(Rutas,_xlfn._xlws.FILTER($B$2:$B$10000,$B$2:$B$10000&lt;&gt;"")=VALUE(INDEX(IdClientes,MATCH(SB2,Clientes,0))))</f>
        <v>#VALUE!</v>
      </c>
      <c r="SC3" s="28" t="e" cm="1" vm="1">
        <f t="array" ref="SC3">_xlfn._xlws.FILTER(Rutas,_xlfn._xlws.FILTER($B$2:$B$10000,$B$2:$B$10000&lt;&gt;"")=VALUE(INDEX(IdClientes,MATCH(SC2,Clientes,0))))</f>
        <v>#VALUE!</v>
      </c>
      <c r="SD3" s="28" t="e" cm="1" vm="1">
        <f t="array" ref="SD3">_xlfn._xlws.FILTER(Rutas,_xlfn._xlws.FILTER($B$2:$B$10000,$B$2:$B$10000&lt;&gt;"")=VALUE(INDEX(IdClientes,MATCH(SD2,Clientes,0))))</f>
        <v>#VALUE!</v>
      </c>
      <c r="SE3" s="28" t="e" cm="1" vm="1">
        <f t="array" ref="SE3">_xlfn._xlws.FILTER(Rutas,_xlfn._xlws.FILTER($B$2:$B$10000,$B$2:$B$10000&lt;&gt;"")=VALUE(INDEX(IdClientes,MATCH(SE2,Clientes,0))))</f>
        <v>#VALUE!</v>
      </c>
      <c r="SF3" s="28" t="e" cm="1" vm="1">
        <f t="array" ref="SF3">_xlfn._xlws.FILTER(Rutas,_xlfn._xlws.FILTER($B$2:$B$10000,$B$2:$B$10000&lt;&gt;"")=VALUE(INDEX(IdClientes,MATCH(SF2,Clientes,0))))</f>
        <v>#VALUE!</v>
      </c>
      <c r="SG3" s="28" t="e" cm="1" vm="1">
        <f t="array" ref="SG3">_xlfn._xlws.FILTER(Rutas,_xlfn._xlws.FILTER($B$2:$B$10000,$B$2:$B$10000&lt;&gt;"")=VALUE(INDEX(IdClientes,MATCH(SG2,Clientes,0))))</f>
        <v>#VALUE!</v>
      </c>
      <c r="SH3" s="28" t="e" cm="1" vm="1">
        <f t="array" ref="SH3">_xlfn._xlws.FILTER(Rutas,_xlfn._xlws.FILTER($B$2:$B$10000,$B$2:$B$10000&lt;&gt;"")=VALUE(INDEX(IdClientes,MATCH(SH2,Clientes,0))))</f>
        <v>#VALUE!</v>
      </c>
      <c r="SI3" s="28" t="e" cm="1" vm="1">
        <f t="array" ref="SI3">_xlfn._xlws.FILTER(Rutas,_xlfn._xlws.FILTER($B$2:$B$10000,$B$2:$B$10000&lt;&gt;"")=VALUE(INDEX(IdClientes,MATCH(SI2,Clientes,0))))</f>
        <v>#VALUE!</v>
      </c>
      <c r="SJ3" s="28" t="e" cm="1" vm="1">
        <f t="array" ref="SJ3">_xlfn._xlws.FILTER(Rutas,_xlfn._xlws.FILTER($B$2:$B$10000,$B$2:$B$10000&lt;&gt;"")=VALUE(INDEX(IdClientes,MATCH(SJ2,Clientes,0))))</f>
        <v>#VALUE!</v>
      </c>
      <c r="SK3" s="28" t="e" cm="1" vm="1">
        <f t="array" ref="SK3">_xlfn._xlws.FILTER(Rutas,_xlfn._xlws.FILTER($B$2:$B$10000,$B$2:$B$10000&lt;&gt;"")=VALUE(INDEX(IdClientes,MATCH(SK2,Clientes,0))))</f>
        <v>#VALUE!</v>
      </c>
      <c r="SL3" s="28" t="e" cm="1" vm="1">
        <f t="array" ref="SL3">_xlfn._xlws.FILTER(Rutas,_xlfn._xlws.FILTER($B$2:$B$10000,$B$2:$B$10000&lt;&gt;"")=VALUE(INDEX(IdClientes,MATCH(SL2,Clientes,0))))</f>
        <v>#VALUE!</v>
      </c>
      <c r="SM3" s="28" t="e" cm="1" vm="1">
        <f t="array" ref="SM3">_xlfn._xlws.FILTER(Rutas,_xlfn._xlws.FILTER($B$2:$B$10000,$B$2:$B$10000&lt;&gt;"")=VALUE(INDEX(IdClientes,MATCH(SM2,Clientes,0))))</f>
        <v>#VALUE!</v>
      </c>
      <c r="SN3" s="28" t="e" cm="1" vm="1">
        <f t="array" ref="SN3">_xlfn._xlws.FILTER(Rutas,_xlfn._xlws.FILTER($B$2:$B$10000,$B$2:$B$10000&lt;&gt;"")=VALUE(INDEX(IdClientes,MATCH(SN2,Clientes,0))))</f>
        <v>#VALUE!</v>
      </c>
      <c r="SO3" s="28" t="e" cm="1" vm="1">
        <f t="array" ref="SO3">_xlfn._xlws.FILTER(Rutas,_xlfn._xlws.FILTER($B$2:$B$10000,$B$2:$B$10000&lt;&gt;"")=VALUE(INDEX(IdClientes,MATCH(SO2,Clientes,0))))</f>
        <v>#VALUE!</v>
      </c>
      <c r="SP3" s="28" t="e" cm="1" vm="1">
        <f t="array" ref="SP3">_xlfn._xlws.FILTER(Rutas,_xlfn._xlws.FILTER($B$2:$B$10000,$B$2:$B$10000&lt;&gt;"")=VALUE(INDEX(IdClientes,MATCH(SP2,Clientes,0))))</f>
        <v>#VALUE!</v>
      </c>
      <c r="SQ3" s="28" t="e" cm="1" vm="1">
        <f t="array" ref="SQ3">_xlfn._xlws.FILTER(Rutas,_xlfn._xlws.FILTER($B$2:$B$10000,$B$2:$B$10000&lt;&gt;"")=VALUE(INDEX(IdClientes,MATCH(SQ2,Clientes,0))))</f>
        <v>#VALUE!</v>
      </c>
      <c r="SR3" s="28" t="e" cm="1" vm="1">
        <f t="array" ref="SR3">_xlfn._xlws.FILTER(Rutas,_xlfn._xlws.FILTER($B$2:$B$10000,$B$2:$B$10000&lt;&gt;"")=VALUE(INDEX(IdClientes,MATCH(SR2,Clientes,0))))</f>
        <v>#VALUE!</v>
      </c>
      <c r="SS3" s="28" t="e" cm="1" vm="1">
        <f t="array" ref="SS3">_xlfn._xlws.FILTER(Rutas,_xlfn._xlws.FILTER($B$2:$B$10000,$B$2:$B$10000&lt;&gt;"")=VALUE(INDEX(IdClientes,MATCH(SS2,Clientes,0))))</f>
        <v>#VALUE!</v>
      </c>
      <c r="ST3" s="28" t="e" cm="1" vm="1">
        <f t="array" ref="ST3">_xlfn._xlws.FILTER(Rutas,_xlfn._xlws.FILTER($B$2:$B$10000,$B$2:$B$10000&lt;&gt;"")=VALUE(INDEX(IdClientes,MATCH(ST2,Clientes,0))))</f>
        <v>#VALUE!</v>
      </c>
      <c r="SU3" s="28" t="e" cm="1" vm="1">
        <f t="array" ref="SU3">_xlfn._xlws.FILTER(Rutas,_xlfn._xlws.FILTER($B$2:$B$10000,$B$2:$B$10000&lt;&gt;"")=VALUE(INDEX(IdClientes,MATCH(SU2,Clientes,0))))</f>
        <v>#VALUE!</v>
      </c>
      <c r="SV3" s="28" t="e" cm="1" vm="1">
        <f t="array" ref="SV3">_xlfn._xlws.FILTER(Rutas,_xlfn._xlws.FILTER($B$2:$B$10000,$B$2:$B$10000&lt;&gt;"")=VALUE(INDEX(IdClientes,MATCH(SV2,Clientes,0))))</f>
        <v>#VALUE!</v>
      </c>
      <c r="SW3" s="28" t="e" cm="1" vm="1">
        <f t="array" ref="SW3">_xlfn._xlws.FILTER(Rutas,_xlfn._xlws.FILTER($B$2:$B$10000,$B$2:$B$10000&lt;&gt;"")=VALUE(INDEX(IdClientes,MATCH(SW2,Clientes,0))))</f>
        <v>#VALUE!</v>
      </c>
      <c r="SX3" s="28" t="e" cm="1" vm="1">
        <f t="array" ref="SX3">_xlfn._xlws.FILTER(Rutas,_xlfn._xlws.FILTER($B$2:$B$10000,$B$2:$B$10000&lt;&gt;"")=VALUE(INDEX(IdClientes,MATCH(SX2,Clientes,0))))</f>
        <v>#VALUE!</v>
      </c>
      <c r="SY3" s="28" t="e" cm="1" vm="1">
        <f t="array" ref="SY3">_xlfn._xlws.FILTER(Rutas,_xlfn._xlws.FILTER($B$2:$B$10000,$B$2:$B$10000&lt;&gt;"")=VALUE(INDEX(IdClientes,MATCH(SY2,Clientes,0))))</f>
        <v>#VALUE!</v>
      </c>
      <c r="SZ3" s="28" t="e" cm="1" vm="1">
        <f t="array" ref="SZ3">_xlfn._xlws.FILTER(Rutas,_xlfn._xlws.FILTER($B$2:$B$10000,$B$2:$B$10000&lt;&gt;"")=VALUE(INDEX(IdClientes,MATCH(SZ2,Clientes,0))))</f>
        <v>#VALUE!</v>
      </c>
      <c r="TA3" s="28" t="e" cm="1" vm="1">
        <f t="array" ref="TA3">_xlfn._xlws.FILTER(Rutas,_xlfn._xlws.FILTER($B$2:$B$10000,$B$2:$B$10000&lt;&gt;"")=VALUE(INDEX(IdClientes,MATCH(TA2,Clientes,0))))</f>
        <v>#VALUE!</v>
      </c>
      <c r="TB3" s="28" t="e" cm="1" vm="1">
        <f t="array" ref="TB3">_xlfn._xlws.FILTER(Rutas,_xlfn._xlws.FILTER($B$2:$B$10000,$B$2:$B$10000&lt;&gt;"")=VALUE(INDEX(IdClientes,MATCH(TB2,Clientes,0))))</f>
        <v>#VALUE!</v>
      </c>
      <c r="TC3" s="28" t="e" cm="1" vm="1">
        <f t="array" ref="TC3">_xlfn._xlws.FILTER(Rutas,_xlfn._xlws.FILTER($B$2:$B$10000,$B$2:$B$10000&lt;&gt;"")=VALUE(INDEX(IdClientes,MATCH(TC2,Clientes,0))))</f>
        <v>#VALUE!</v>
      </c>
      <c r="TD3" s="28" t="e" cm="1" vm="1">
        <f t="array" ref="TD3">_xlfn._xlws.FILTER(Rutas,_xlfn._xlws.FILTER($B$2:$B$10000,$B$2:$B$10000&lt;&gt;"")=VALUE(INDEX(IdClientes,MATCH(TD2,Clientes,0))))</f>
        <v>#VALUE!</v>
      </c>
      <c r="TE3" s="28" t="e" cm="1" vm="1">
        <f t="array" ref="TE3">_xlfn._xlws.FILTER(Rutas,_xlfn._xlws.FILTER($B$2:$B$10000,$B$2:$B$10000&lt;&gt;"")=VALUE(INDEX(IdClientes,MATCH(TE2,Clientes,0))))</f>
        <v>#VALUE!</v>
      </c>
      <c r="TF3" s="28" t="e" cm="1" vm="1">
        <f t="array" ref="TF3">_xlfn._xlws.FILTER(Rutas,_xlfn._xlws.FILTER($B$2:$B$10000,$B$2:$B$10000&lt;&gt;"")=VALUE(INDEX(IdClientes,MATCH(TF2,Clientes,0))))</f>
        <v>#VALUE!</v>
      </c>
      <c r="TG3" s="28" t="e" cm="1" vm="1">
        <f t="array" ref="TG3">_xlfn._xlws.FILTER(Rutas,_xlfn._xlws.FILTER($B$2:$B$10000,$B$2:$B$10000&lt;&gt;"")=VALUE(INDEX(IdClientes,MATCH(TG2,Clientes,0))))</f>
        <v>#VALUE!</v>
      </c>
      <c r="TH3" s="28" t="e" cm="1" vm="1">
        <f t="array" ref="TH3">_xlfn._xlws.FILTER(Rutas,_xlfn._xlws.FILTER($B$2:$B$10000,$B$2:$B$10000&lt;&gt;"")=VALUE(INDEX(IdClientes,MATCH(TH2,Clientes,0))))</f>
        <v>#VALUE!</v>
      </c>
      <c r="TI3" s="28" t="e" cm="1" vm="1">
        <f t="array" ref="TI3">_xlfn._xlws.FILTER(Rutas,_xlfn._xlws.FILTER($B$2:$B$10000,$B$2:$B$10000&lt;&gt;"")=VALUE(INDEX(IdClientes,MATCH(TI2,Clientes,0))))</f>
        <v>#VALUE!</v>
      </c>
      <c r="TJ3" s="28" t="e" cm="1" vm="1">
        <f t="array" ref="TJ3">_xlfn._xlws.FILTER(Rutas,_xlfn._xlws.FILTER($B$2:$B$10000,$B$2:$B$10000&lt;&gt;"")=VALUE(INDEX(IdClientes,MATCH(TJ2,Clientes,0))))</f>
        <v>#VALUE!</v>
      </c>
      <c r="TK3" s="28" t="e" cm="1" vm="1">
        <f t="array" ref="TK3">_xlfn._xlws.FILTER(Rutas,_xlfn._xlws.FILTER($B$2:$B$10000,$B$2:$B$10000&lt;&gt;"")=VALUE(INDEX(IdClientes,MATCH(TK2,Clientes,0))))</f>
        <v>#VALUE!</v>
      </c>
      <c r="TL3" s="28" t="e" cm="1" vm="1">
        <f t="array" ref="TL3">_xlfn._xlws.FILTER(Rutas,_xlfn._xlws.FILTER($B$2:$B$10000,$B$2:$B$10000&lt;&gt;"")=VALUE(INDEX(IdClientes,MATCH(TL2,Clientes,0))))</f>
        <v>#VALUE!</v>
      </c>
      <c r="TM3" s="28" t="e" cm="1" vm="1">
        <f t="array" ref="TM3">_xlfn._xlws.FILTER(Rutas,_xlfn._xlws.FILTER($B$2:$B$10000,$B$2:$B$10000&lt;&gt;"")=VALUE(INDEX(IdClientes,MATCH(TM2,Clientes,0))))</f>
        <v>#VALUE!</v>
      </c>
      <c r="TN3" s="28" t="e" cm="1" vm="1">
        <f t="array" ref="TN3">_xlfn._xlws.FILTER(Rutas,_xlfn._xlws.FILTER($B$2:$B$10000,$B$2:$B$10000&lt;&gt;"")=VALUE(INDEX(IdClientes,MATCH(TN2,Clientes,0))))</f>
        <v>#VALUE!</v>
      </c>
      <c r="TO3" s="28" t="e" cm="1" vm="1">
        <f t="array" ref="TO3">_xlfn._xlws.FILTER(Rutas,_xlfn._xlws.FILTER($B$2:$B$10000,$B$2:$B$10000&lt;&gt;"")=VALUE(INDEX(IdClientes,MATCH(TO2,Clientes,0))))</f>
        <v>#VALUE!</v>
      </c>
      <c r="TP3" s="28" t="e" cm="1" vm="1">
        <f t="array" ref="TP3">_xlfn._xlws.FILTER(Rutas,_xlfn._xlws.FILTER($B$2:$B$10000,$B$2:$B$10000&lt;&gt;"")=VALUE(INDEX(IdClientes,MATCH(TP2,Clientes,0))))</f>
        <v>#VALUE!</v>
      </c>
      <c r="TQ3" s="28" t="e" cm="1" vm="1">
        <f t="array" ref="TQ3">_xlfn._xlws.FILTER(Rutas,_xlfn._xlws.FILTER($B$2:$B$10000,$B$2:$B$10000&lt;&gt;"")=VALUE(INDEX(IdClientes,MATCH(TQ2,Clientes,0))))</f>
        <v>#VALUE!</v>
      </c>
      <c r="TR3" s="28" t="e" cm="1" vm="1">
        <f t="array" ref="TR3">_xlfn._xlws.FILTER(Rutas,_xlfn._xlws.FILTER($B$2:$B$10000,$B$2:$B$10000&lt;&gt;"")=VALUE(INDEX(IdClientes,MATCH(TR2,Clientes,0))))</f>
        <v>#VALUE!</v>
      </c>
      <c r="TS3" s="28" t="e" cm="1" vm="1">
        <f t="array" ref="TS3">_xlfn._xlws.FILTER(Rutas,_xlfn._xlws.FILTER($B$2:$B$10000,$B$2:$B$10000&lt;&gt;"")=VALUE(INDEX(IdClientes,MATCH(TS2,Clientes,0))))</f>
        <v>#VALUE!</v>
      </c>
      <c r="TT3" s="28" t="e" cm="1" vm="1">
        <f t="array" ref="TT3">_xlfn._xlws.FILTER(Rutas,_xlfn._xlws.FILTER($B$2:$B$10000,$B$2:$B$10000&lt;&gt;"")=VALUE(INDEX(IdClientes,MATCH(TT2,Clientes,0))))</f>
        <v>#VALUE!</v>
      </c>
      <c r="TU3" s="28" t="e" cm="1" vm="1">
        <f t="array" ref="TU3">_xlfn._xlws.FILTER(Rutas,_xlfn._xlws.FILTER($B$2:$B$10000,$B$2:$B$10000&lt;&gt;"")=VALUE(INDEX(IdClientes,MATCH(TU2,Clientes,0))))</f>
        <v>#VALUE!</v>
      </c>
      <c r="TV3" s="28" t="e" cm="1" vm="1">
        <f t="array" ref="TV3">_xlfn._xlws.FILTER(Rutas,_xlfn._xlws.FILTER($B$2:$B$10000,$B$2:$B$10000&lt;&gt;"")=VALUE(INDEX(IdClientes,MATCH(TV2,Clientes,0))))</f>
        <v>#VALUE!</v>
      </c>
      <c r="TW3" s="28" t="e" cm="1" vm="1">
        <f t="array" ref="TW3">_xlfn._xlws.FILTER(Rutas,_xlfn._xlws.FILTER($B$2:$B$10000,$B$2:$B$10000&lt;&gt;"")=VALUE(INDEX(IdClientes,MATCH(TW2,Clientes,0))))</f>
        <v>#VALUE!</v>
      </c>
      <c r="TX3" s="28" t="e" cm="1" vm="1">
        <f t="array" ref="TX3">_xlfn._xlws.FILTER(Rutas,_xlfn._xlws.FILTER($B$2:$B$10000,$B$2:$B$10000&lt;&gt;"")=VALUE(INDEX(IdClientes,MATCH(TX2,Clientes,0))))</f>
        <v>#VALUE!</v>
      </c>
      <c r="TY3" s="28" t="e" cm="1" vm="1">
        <f t="array" ref="TY3">_xlfn._xlws.FILTER(Rutas,_xlfn._xlws.FILTER($B$2:$B$10000,$B$2:$B$10000&lt;&gt;"")=VALUE(INDEX(IdClientes,MATCH(TY2,Clientes,0))))</f>
        <v>#VALUE!</v>
      </c>
      <c r="TZ3" s="28" t="e" cm="1" vm="1">
        <f t="array" ref="TZ3">_xlfn._xlws.FILTER(Rutas,_xlfn._xlws.FILTER($B$2:$B$10000,$B$2:$B$10000&lt;&gt;"")=VALUE(INDEX(IdClientes,MATCH(TZ2,Clientes,0))))</f>
        <v>#VALUE!</v>
      </c>
      <c r="UA3" s="28" t="e" cm="1" vm="1">
        <f t="array" ref="UA3">_xlfn._xlws.FILTER(Rutas,_xlfn._xlws.FILTER($B$2:$B$10000,$B$2:$B$10000&lt;&gt;"")=VALUE(INDEX(IdClientes,MATCH(UA2,Clientes,0))))</f>
        <v>#VALUE!</v>
      </c>
      <c r="UB3" s="28" t="e" cm="1" vm="1">
        <f t="array" ref="UB3">_xlfn._xlws.FILTER(Rutas,_xlfn._xlws.FILTER($B$2:$B$10000,$B$2:$B$10000&lt;&gt;"")=VALUE(INDEX(IdClientes,MATCH(UB2,Clientes,0))))</f>
        <v>#VALUE!</v>
      </c>
      <c r="UC3" s="28" t="e" cm="1" vm="1">
        <f t="array" ref="UC3">_xlfn._xlws.FILTER(Rutas,_xlfn._xlws.FILTER($B$2:$B$10000,$B$2:$B$10000&lt;&gt;"")=VALUE(INDEX(IdClientes,MATCH(UC2,Clientes,0))))</f>
        <v>#VALUE!</v>
      </c>
      <c r="UD3" s="28" t="e" cm="1" vm="1">
        <f t="array" ref="UD3">_xlfn._xlws.FILTER(Rutas,_xlfn._xlws.FILTER($B$2:$B$10000,$B$2:$B$10000&lt;&gt;"")=VALUE(INDEX(IdClientes,MATCH(UD2,Clientes,0))))</f>
        <v>#VALUE!</v>
      </c>
      <c r="UE3" s="28" t="e" cm="1" vm="1">
        <f t="array" ref="UE3">_xlfn._xlws.FILTER(Rutas,_xlfn._xlws.FILTER($B$2:$B$10000,$B$2:$B$10000&lt;&gt;"")=VALUE(INDEX(IdClientes,MATCH(UE2,Clientes,0))))</f>
        <v>#VALUE!</v>
      </c>
      <c r="UF3" s="28" t="e" cm="1" vm="1">
        <f t="array" ref="UF3">_xlfn._xlws.FILTER(Rutas,_xlfn._xlws.FILTER($B$2:$B$10000,$B$2:$B$10000&lt;&gt;"")=VALUE(INDEX(IdClientes,MATCH(UF2,Clientes,0))))</f>
        <v>#VALUE!</v>
      </c>
      <c r="UG3" s="28" t="e" cm="1" vm="1">
        <f t="array" ref="UG3">_xlfn._xlws.FILTER(Rutas,_xlfn._xlws.FILTER($B$2:$B$10000,$B$2:$B$10000&lt;&gt;"")=VALUE(INDEX(IdClientes,MATCH(UG2,Clientes,0))))</f>
        <v>#VALUE!</v>
      </c>
      <c r="UH3" s="28" t="e" cm="1" vm="1">
        <f t="array" ref="UH3">_xlfn._xlws.FILTER(Rutas,_xlfn._xlws.FILTER($B$2:$B$10000,$B$2:$B$10000&lt;&gt;"")=VALUE(INDEX(IdClientes,MATCH(UH2,Clientes,0))))</f>
        <v>#VALUE!</v>
      </c>
      <c r="UI3" s="28" t="e" cm="1" vm="1">
        <f t="array" ref="UI3">_xlfn._xlws.FILTER(Rutas,_xlfn._xlws.FILTER($B$2:$B$10000,$B$2:$B$10000&lt;&gt;"")=VALUE(INDEX(IdClientes,MATCH(UI2,Clientes,0))))</f>
        <v>#VALUE!</v>
      </c>
      <c r="UJ3" s="28" t="e" cm="1" vm="1">
        <f t="array" ref="UJ3">_xlfn._xlws.FILTER(Rutas,_xlfn._xlws.FILTER($B$2:$B$10000,$B$2:$B$10000&lt;&gt;"")=VALUE(INDEX(IdClientes,MATCH(UJ2,Clientes,0))))</f>
        <v>#VALUE!</v>
      </c>
      <c r="UK3" s="28" t="e" cm="1" vm="1">
        <f t="array" ref="UK3">_xlfn._xlws.FILTER(Rutas,_xlfn._xlws.FILTER($B$2:$B$10000,$B$2:$B$10000&lt;&gt;"")=VALUE(INDEX(IdClientes,MATCH(UK2,Clientes,0))))</f>
        <v>#VALUE!</v>
      </c>
      <c r="UL3" s="28" t="e" cm="1" vm="1">
        <f t="array" ref="UL3">_xlfn._xlws.FILTER(Rutas,_xlfn._xlws.FILTER($B$2:$B$10000,$B$2:$B$10000&lt;&gt;"")=VALUE(INDEX(IdClientes,MATCH(UL2,Clientes,0))))</f>
        <v>#VALUE!</v>
      </c>
      <c r="UM3" s="28" t="e" cm="1" vm="1">
        <f t="array" ref="UM3">_xlfn._xlws.FILTER(Rutas,_xlfn._xlws.FILTER($B$2:$B$10000,$B$2:$B$10000&lt;&gt;"")=VALUE(INDEX(IdClientes,MATCH(UM2,Clientes,0))))</f>
        <v>#VALUE!</v>
      </c>
      <c r="UN3" s="28" t="e" cm="1" vm="1">
        <f t="array" ref="UN3">_xlfn._xlws.FILTER(Rutas,_xlfn._xlws.FILTER($B$2:$B$10000,$B$2:$B$10000&lt;&gt;"")=VALUE(INDEX(IdClientes,MATCH(UN2,Clientes,0))))</f>
        <v>#VALUE!</v>
      </c>
      <c r="UO3" s="28" t="e" cm="1" vm="1">
        <f t="array" ref="UO3">_xlfn._xlws.FILTER(Rutas,_xlfn._xlws.FILTER($B$2:$B$10000,$B$2:$B$10000&lt;&gt;"")=VALUE(INDEX(IdClientes,MATCH(UO2,Clientes,0))))</f>
        <v>#VALUE!</v>
      </c>
      <c r="UP3" s="28" t="e" cm="1" vm="1">
        <f t="array" ref="UP3">_xlfn._xlws.FILTER(Rutas,_xlfn._xlws.FILTER($B$2:$B$10000,$B$2:$B$10000&lt;&gt;"")=VALUE(INDEX(IdClientes,MATCH(UP2,Clientes,0))))</f>
        <v>#VALUE!</v>
      </c>
      <c r="UQ3" s="28" t="e" cm="1" vm="1">
        <f t="array" ref="UQ3">_xlfn._xlws.FILTER(Rutas,_xlfn._xlws.FILTER($B$2:$B$10000,$B$2:$B$10000&lt;&gt;"")=VALUE(INDEX(IdClientes,MATCH(UQ2,Clientes,0))))</f>
        <v>#VALUE!</v>
      </c>
      <c r="UR3" s="28" t="e" cm="1" vm="1">
        <f t="array" ref="UR3">_xlfn._xlws.FILTER(Rutas,_xlfn._xlws.FILTER($B$2:$B$10000,$B$2:$B$10000&lt;&gt;"")=VALUE(INDEX(IdClientes,MATCH(UR2,Clientes,0))))</f>
        <v>#VALUE!</v>
      </c>
      <c r="US3" s="28" t="e" cm="1" vm="1">
        <f t="array" ref="US3">_xlfn._xlws.FILTER(Rutas,_xlfn._xlws.FILTER($B$2:$B$10000,$B$2:$B$10000&lt;&gt;"")=VALUE(INDEX(IdClientes,MATCH(US2,Clientes,0))))</f>
        <v>#VALUE!</v>
      </c>
      <c r="UT3" s="28" t="e" cm="1" vm="1">
        <f t="array" ref="UT3">_xlfn._xlws.FILTER(Rutas,_xlfn._xlws.FILTER($B$2:$B$10000,$B$2:$B$10000&lt;&gt;"")=VALUE(INDEX(IdClientes,MATCH(UT2,Clientes,0))))</f>
        <v>#VALUE!</v>
      </c>
      <c r="UU3" s="28" t="e" cm="1" vm="1">
        <f t="array" ref="UU3">_xlfn._xlws.FILTER(Rutas,_xlfn._xlws.FILTER($B$2:$B$10000,$B$2:$B$10000&lt;&gt;"")=VALUE(INDEX(IdClientes,MATCH(UU2,Clientes,0))))</f>
        <v>#VALUE!</v>
      </c>
      <c r="UV3" s="28" t="e" cm="1" vm="1">
        <f t="array" ref="UV3">_xlfn._xlws.FILTER(Rutas,_xlfn._xlws.FILTER($B$2:$B$10000,$B$2:$B$10000&lt;&gt;"")=VALUE(INDEX(IdClientes,MATCH(UV2,Clientes,0))))</f>
        <v>#VALUE!</v>
      </c>
      <c r="UW3" s="28" t="e" cm="1" vm="1">
        <f t="array" ref="UW3">_xlfn._xlws.FILTER(Rutas,_xlfn._xlws.FILTER($B$2:$B$10000,$B$2:$B$10000&lt;&gt;"")=VALUE(INDEX(IdClientes,MATCH(UW2,Clientes,0))))</f>
        <v>#VALUE!</v>
      </c>
      <c r="UX3" s="28" t="e" cm="1" vm="1">
        <f t="array" ref="UX3">_xlfn._xlws.FILTER(Rutas,_xlfn._xlws.FILTER($B$2:$B$10000,$B$2:$B$10000&lt;&gt;"")=VALUE(INDEX(IdClientes,MATCH(UX2,Clientes,0))))</f>
        <v>#VALUE!</v>
      </c>
      <c r="UY3" s="28" t="e" cm="1" vm="1">
        <f t="array" ref="UY3">_xlfn._xlws.FILTER(Rutas,_xlfn._xlws.FILTER($B$2:$B$10000,$B$2:$B$10000&lt;&gt;"")=VALUE(INDEX(IdClientes,MATCH(UY2,Clientes,0))))</f>
        <v>#VALUE!</v>
      </c>
      <c r="UZ3" s="28" t="e" cm="1" vm="1">
        <f t="array" ref="UZ3">_xlfn._xlws.FILTER(Rutas,_xlfn._xlws.FILTER($B$2:$B$10000,$B$2:$B$10000&lt;&gt;"")=VALUE(INDEX(IdClientes,MATCH(UZ2,Clientes,0))))</f>
        <v>#VALUE!</v>
      </c>
      <c r="VA3" s="28" t="e" cm="1" vm="1">
        <f t="array" ref="VA3">_xlfn._xlws.FILTER(Rutas,_xlfn._xlws.FILTER($B$2:$B$10000,$B$2:$B$10000&lt;&gt;"")=VALUE(INDEX(IdClientes,MATCH(VA2,Clientes,0))))</f>
        <v>#VALUE!</v>
      </c>
      <c r="VB3" s="28" t="e" cm="1" vm="1">
        <f t="array" ref="VB3">_xlfn._xlws.FILTER(Rutas,_xlfn._xlws.FILTER($B$2:$B$10000,$B$2:$B$10000&lt;&gt;"")=VALUE(INDEX(IdClientes,MATCH(VB2,Clientes,0))))</f>
        <v>#VALUE!</v>
      </c>
      <c r="VC3" s="28" t="e" cm="1" vm="1">
        <f t="array" ref="VC3">_xlfn._xlws.FILTER(Rutas,_xlfn._xlws.FILTER($B$2:$B$10000,$B$2:$B$10000&lt;&gt;"")=VALUE(INDEX(IdClientes,MATCH(VC2,Clientes,0))))</f>
        <v>#VALUE!</v>
      </c>
      <c r="VD3" s="28" t="e" cm="1" vm="1">
        <f t="array" ref="VD3">_xlfn._xlws.FILTER(Rutas,_xlfn._xlws.FILTER($B$2:$B$10000,$B$2:$B$10000&lt;&gt;"")=VALUE(INDEX(IdClientes,MATCH(VD2,Clientes,0))))</f>
        <v>#VALUE!</v>
      </c>
      <c r="VE3" s="28" t="e" cm="1" vm="1">
        <f t="array" ref="VE3">_xlfn._xlws.FILTER(Rutas,_xlfn._xlws.FILTER($B$2:$B$10000,$B$2:$B$10000&lt;&gt;"")=VALUE(INDEX(IdClientes,MATCH(VE2,Clientes,0))))</f>
        <v>#VALUE!</v>
      </c>
      <c r="VF3" s="28" t="e" cm="1" vm="1">
        <f t="array" ref="VF3">_xlfn._xlws.FILTER(Rutas,_xlfn._xlws.FILTER($B$2:$B$10000,$B$2:$B$10000&lt;&gt;"")=VALUE(INDEX(IdClientes,MATCH(VF2,Clientes,0))))</f>
        <v>#VALUE!</v>
      </c>
      <c r="VG3" s="28" t="e" cm="1" vm="1">
        <f t="array" ref="VG3">_xlfn._xlws.FILTER(Rutas,_xlfn._xlws.FILTER($B$2:$B$10000,$B$2:$B$10000&lt;&gt;"")=VALUE(INDEX(IdClientes,MATCH(VG2,Clientes,0))))</f>
        <v>#VALUE!</v>
      </c>
      <c r="VH3" s="28" t="e" cm="1" vm="1">
        <f t="array" ref="VH3">_xlfn._xlws.FILTER(Rutas,_xlfn._xlws.FILTER($B$2:$B$10000,$B$2:$B$10000&lt;&gt;"")=VALUE(INDEX(IdClientes,MATCH(VH2,Clientes,0))))</f>
        <v>#VALUE!</v>
      </c>
      <c r="VI3" s="28" t="e" cm="1" vm="1">
        <f t="array" ref="VI3">_xlfn._xlws.FILTER(Rutas,_xlfn._xlws.FILTER($B$2:$B$10000,$B$2:$B$10000&lt;&gt;"")=VALUE(INDEX(IdClientes,MATCH(VI2,Clientes,0))))</f>
        <v>#VALUE!</v>
      </c>
      <c r="VJ3" s="28" t="e" cm="1" vm="1">
        <f t="array" ref="VJ3">_xlfn._xlws.FILTER(Rutas,_xlfn._xlws.FILTER($B$2:$B$10000,$B$2:$B$10000&lt;&gt;"")=VALUE(INDEX(IdClientes,MATCH(VJ2,Clientes,0))))</f>
        <v>#VALUE!</v>
      </c>
      <c r="VK3" s="28" t="e" cm="1" vm="1">
        <f t="array" ref="VK3">_xlfn._xlws.FILTER(Rutas,_xlfn._xlws.FILTER($B$2:$B$10000,$B$2:$B$10000&lt;&gt;"")=VALUE(INDEX(IdClientes,MATCH(VK2,Clientes,0))))</f>
        <v>#VALUE!</v>
      </c>
      <c r="VL3" s="28" t="e" cm="1" vm="1">
        <f t="array" ref="VL3">_xlfn._xlws.FILTER(Rutas,_xlfn._xlws.FILTER($B$2:$B$10000,$B$2:$B$10000&lt;&gt;"")=VALUE(INDEX(IdClientes,MATCH(VL2,Clientes,0))))</f>
        <v>#VALUE!</v>
      </c>
      <c r="VM3" s="28" t="e" cm="1" vm="1">
        <f t="array" ref="VM3">_xlfn._xlws.FILTER(Rutas,_xlfn._xlws.FILTER($B$2:$B$10000,$B$2:$B$10000&lt;&gt;"")=VALUE(INDEX(IdClientes,MATCH(VM2,Clientes,0))))</f>
        <v>#VALUE!</v>
      </c>
      <c r="VN3" s="28" t="e" cm="1" vm="1">
        <f t="array" ref="VN3">_xlfn._xlws.FILTER(Rutas,_xlfn._xlws.FILTER($B$2:$B$10000,$B$2:$B$10000&lt;&gt;"")=VALUE(INDEX(IdClientes,MATCH(VN2,Clientes,0))))</f>
        <v>#VALUE!</v>
      </c>
      <c r="VO3" s="28" t="e" cm="1" vm="1">
        <f t="array" ref="VO3">_xlfn._xlws.FILTER(Rutas,_xlfn._xlws.FILTER($B$2:$B$10000,$B$2:$B$10000&lt;&gt;"")=VALUE(INDEX(IdClientes,MATCH(VO2,Clientes,0))))</f>
        <v>#VALUE!</v>
      </c>
      <c r="VP3" s="28" t="e" cm="1" vm="1">
        <f t="array" ref="VP3">_xlfn._xlws.FILTER(Rutas,_xlfn._xlws.FILTER($B$2:$B$10000,$B$2:$B$10000&lt;&gt;"")=VALUE(INDEX(IdClientes,MATCH(VP2,Clientes,0))))</f>
        <v>#VALUE!</v>
      </c>
      <c r="VQ3" s="28" t="e" cm="1" vm="1">
        <f t="array" ref="VQ3">_xlfn._xlws.FILTER(Rutas,_xlfn._xlws.FILTER($B$2:$B$10000,$B$2:$B$10000&lt;&gt;"")=VALUE(INDEX(IdClientes,MATCH(VQ2,Clientes,0))))</f>
        <v>#VALUE!</v>
      </c>
      <c r="VR3" s="28" t="e" cm="1" vm="1">
        <f t="array" ref="VR3">_xlfn._xlws.FILTER(Rutas,_xlfn._xlws.FILTER($B$2:$B$10000,$B$2:$B$10000&lt;&gt;"")=VALUE(INDEX(IdClientes,MATCH(VR2,Clientes,0))))</f>
        <v>#VALUE!</v>
      </c>
      <c r="VS3" s="28" t="e" cm="1" vm="1">
        <f t="array" ref="VS3">_xlfn._xlws.FILTER(Rutas,_xlfn._xlws.FILTER($B$2:$B$10000,$B$2:$B$10000&lt;&gt;"")=VALUE(INDEX(IdClientes,MATCH(VS2,Clientes,0))))</f>
        <v>#VALUE!</v>
      </c>
      <c r="VT3" s="28" t="e" cm="1" vm="1">
        <f t="array" ref="VT3">_xlfn._xlws.FILTER(Rutas,_xlfn._xlws.FILTER($B$2:$B$10000,$B$2:$B$10000&lt;&gt;"")=VALUE(INDEX(IdClientes,MATCH(VT2,Clientes,0))))</f>
        <v>#VALUE!</v>
      </c>
      <c r="VU3" s="28" t="e" cm="1" vm="1">
        <f t="array" ref="VU3">_xlfn._xlws.FILTER(Rutas,_xlfn._xlws.FILTER($B$2:$B$10000,$B$2:$B$10000&lt;&gt;"")=VALUE(INDEX(IdClientes,MATCH(VU2,Clientes,0))))</f>
        <v>#VALUE!</v>
      </c>
      <c r="VV3" s="28" t="e" cm="1" vm="1">
        <f t="array" ref="VV3">_xlfn._xlws.FILTER(Rutas,_xlfn._xlws.FILTER($B$2:$B$10000,$B$2:$B$10000&lt;&gt;"")=VALUE(INDEX(IdClientes,MATCH(VV2,Clientes,0))))</f>
        <v>#VALUE!</v>
      </c>
      <c r="VW3" s="28" t="e" cm="1" vm="1">
        <f t="array" ref="VW3">_xlfn._xlws.FILTER(Rutas,_xlfn._xlws.FILTER($B$2:$B$10000,$B$2:$B$10000&lt;&gt;"")=VALUE(INDEX(IdClientes,MATCH(VW2,Clientes,0))))</f>
        <v>#VALUE!</v>
      </c>
      <c r="VX3" s="28" t="e" cm="1" vm="1">
        <f t="array" ref="VX3">_xlfn._xlws.FILTER(Rutas,_xlfn._xlws.FILTER($B$2:$B$10000,$B$2:$B$10000&lt;&gt;"")=VALUE(INDEX(IdClientes,MATCH(VX2,Clientes,0))))</f>
        <v>#VALUE!</v>
      </c>
      <c r="VY3" s="28" t="e" cm="1" vm="1">
        <f t="array" ref="VY3">_xlfn._xlws.FILTER(Rutas,_xlfn._xlws.FILTER($B$2:$B$10000,$B$2:$B$10000&lt;&gt;"")=VALUE(INDEX(IdClientes,MATCH(VY2,Clientes,0))))</f>
        <v>#VALUE!</v>
      </c>
      <c r="VZ3" s="28" t="e" cm="1" vm="1">
        <f t="array" ref="VZ3">_xlfn._xlws.FILTER(Rutas,_xlfn._xlws.FILTER($B$2:$B$10000,$B$2:$B$10000&lt;&gt;"")=VALUE(INDEX(IdClientes,MATCH(VZ2,Clientes,0))))</f>
        <v>#VALUE!</v>
      </c>
      <c r="WA3" s="28" t="e" cm="1" vm="1">
        <f t="array" ref="WA3">_xlfn._xlws.FILTER(Rutas,_xlfn._xlws.FILTER($B$2:$B$10000,$B$2:$B$10000&lt;&gt;"")=VALUE(INDEX(IdClientes,MATCH(WA2,Clientes,0))))</f>
        <v>#VALUE!</v>
      </c>
      <c r="WB3" s="28" t="e" cm="1" vm="1">
        <f t="array" ref="WB3">_xlfn._xlws.FILTER(Rutas,_xlfn._xlws.FILTER($B$2:$B$10000,$B$2:$B$10000&lt;&gt;"")=VALUE(INDEX(IdClientes,MATCH(WB2,Clientes,0))))</f>
        <v>#VALUE!</v>
      </c>
      <c r="WC3" s="28" t="e" cm="1" vm="1">
        <f t="array" ref="WC3">_xlfn._xlws.FILTER(Rutas,_xlfn._xlws.FILTER($B$2:$B$10000,$B$2:$B$10000&lt;&gt;"")=VALUE(INDEX(IdClientes,MATCH(WC2,Clientes,0))))</f>
        <v>#VALUE!</v>
      </c>
      <c r="WD3" s="28" t="e" cm="1" vm="1">
        <f t="array" ref="WD3">_xlfn._xlws.FILTER(Rutas,_xlfn._xlws.FILTER($B$2:$B$10000,$B$2:$B$10000&lt;&gt;"")=VALUE(INDEX(IdClientes,MATCH(WD2,Clientes,0))))</f>
        <v>#VALUE!</v>
      </c>
      <c r="WE3" s="28" t="e" cm="1" vm="1">
        <f t="array" ref="WE3">_xlfn._xlws.FILTER(Rutas,_xlfn._xlws.FILTER($B$2:$B$10000,$B$2:$B$10000&lt;&gt;"")=VALUE(INDEX(IdClientes,MATCH(WE2,Clientes,0))))</f>
        <v>#VALUE!</v>
      </c>
      <c r="WF3" s="28" t="e" cm="1" vm="1">
        <f t="array" ref="WF3">_xlfn._xlws.FILTER(Rutas,_xlfn._xlws.FILTER($B$2:$B$10000,$B$2:$B$10000&lt;&gt;"")=VALUE(INDEX(IdClientes,MATCH(WF2,Clientes,0))))</f>
        <v>#VALUE!</v>
      </c>
      <c r="WG3" s="28" t="e" cm="1" vm="1">
        <f t="array" ref="WG3">_xlfn._xlws.FILTER(Rutas,_xlfn._xlws.FILTER($B$2:$B$10000,$B$2:$B$10000&lt;&gt;"")=VALUE(INDEX(IdClientes,MATCH(WG2,Clientes,0))))</f>
        <v>#VALUE!</v>
      </c>
      <c r="WH3" s="28" t="e" cm="1" vm="1">
        <f t="array" ref="WH3">_xlfn._xlws.FILTER(Rutas,_xlfn._xlws.FILTER($B$2:$B$10000,$B$2:$B$10000&lt;&gt;"")=VALUE(INDEX(IdClientes,MATCH(WH2,Clientes,0))))</f>
        <v>#VALUE!</v>
      </c>
      <c r="WI3" s="28" t="e" cm="1" vm="1">
        <f t="array" ref="WI3">_xlfn._xlws.FILTER(Rutas,_xlfn._xlws.FILTER($B$2:$B$10000,$B$2:$B$10000&lt;&gt;"")=VALUE(INDEX(IdClientes,MATCH(WI2,Clientes,0))))</f>
        <v>#VALUE!</v>
      </c>
      <c r="WJ3" s="28" t="e" cm="1" vm="1">
        <f t="array" ref="WJ3">_xlfn._xlws.FILTER(Rutas,_xlfn._xlws.FILTER($B$2:$B$10000,$B$2:$B$10000&lt;&gt;"")=VALUE(INDEX(IdClientes,MATCH(WJ2,Clientes,0))))</f>
        <v>#VALUE!</v>
      </c>
      <c r="WK3" s="28" t="e" cm="1" vm="1">
        <f t="array" ref="WK3">_xlfn._xlws.FILTER(Rutas,_xlfn._xlws.FILTER($B$2:$B$10000,$B$2:$B$10000&lt;&gt;"")=VALUE(INDEX(IdClientes,MATCH(WK2,Clientes,0))))</f>
        <v>#VALUE!</v>
      </c>
      <c r="WL3" s="28" t="e" cm="1" vm="1">
        <f t="array" ref="WL3">_xlfn._xlws.FILTER(Rutas,_xlfn._xlws.FILTER($B$2:$B$10000,$B$2:$B$10000&lt;&gt;"")=VALUE(INDEX(IdClientes,MATCH(WL2,Clientes,0))))</f>
        <v>#VALUE!</v>
      </c>
      <c r="WM3" s="28" t="e" cm="1" vm="1">
        <f t="array" ref="WM3">_xlfn._xlws.FILTER(Rutas,_xlfn._xlws.FILTER($B$2:$B$10000,$B$2:$B$10000&lt;&gt;"")=VALUE(INDEX(IdClientes,MATCH(WM2,Clientes,0))))</f>
        <v>#VALUE!</v>
      </c>
      <c r="WN3" s="28" t="e" cm="1" vm="1">
        <f t="array" ref="WN3">_xlfn._xlws.FILTER(Rutas,_xlfn._xlws.FILTER($B$2:$B$10000,$B$2:$B$10000&lt;&gt;"")=VALUE(INDEX(IdClientes,MATCH(WN2,Clientes,0))))</f>
        <v>#VALUE!</v>
      </c>
      <c r="WO3" s="28" t="e" cm="1" vm="1">
        <f t="array" ref="WO3">_xlfn._xlws.FILTER(Rutas,_xlfn._xlws.FILTER($B$2:$B$10000,$B$2:$B$10000&lt;&gt;"")=VALUE(INDEX(IdClientes,MATCH(WO2,Clientes,0))))</f>
        <v>#VALUE!</v>
      </c>
      <c r="WP3" s="28" t="e" cm="1" vm="1">
        <f t="array" ref="WP3">_xlfn._xlws.FILTER(Rutas,_xlfn._xlws.FILTER($B$2:$B$10000,$B$2:$B$10000&lt;&gt;"")=VALUE(INDEX(IdClientes,MATCH(WP2,Clientes,0))))</f>
        <v>#VALUE!</v>
      </c>
      <c r="WQ3" s="28" t="e" cm="1" vm="1">
        <f t="array" ref="WQ3">_xlfn._xlws.FILTER(Rutas,_xlfn._xlws.FILTER($B$2:$B$10000,$B$2:$B$10000&lt;&gt;"")=VALUE(INDEX(IdClientes,MATCH(WQ2,Clientes,0))))</f>
        <v>#VALUE!</v>
      </c>
      <c r="WR3" s="28" t="e" cm="1" vm="1">
        <f t="array" ref="WR3">_xlfn._xlws.FILTER(Rutas,_xlfn._xlws.FILTER($B$2:$B$10000,$B$2:$B$10000&lt;&gt;"")=VALUE(INDEX(IdClientes,MATCH(WR2,Clientes,0))))</f>
        <v>#VALUE!</v>
      </c>
      <c r="WS3" s="28" t="e" cm="1" vm="1">
        <f t="array" ref="WS3">_xlfn._xlws.FILTER(Rutas,_xlfn._xlws.FILTER($B$2:$B$10000,$B$2:$B$10000&lt;&gt;"")=VALUE(INDEX(IdClientes,MATCH(WS2,Clientes,0))))</f>
        <v>#VALUE!</v>
      </c>
      <c r="WT3" s="28" t="e" cm="1" vm="1">
        <f t="array" ref="WT3">_xlfn._xlws.FILTER(Rutas,_xlfn._xlws.FILTER($B$2:$B$10000,$B$2:$B$10000&lt;&gt;"")=VALUE(INDEX(IdClientes,MATCH(WT2,Clientes,0))))</f>
        <v>#VALUE!</v>
      </c>
      <c r="WU3" s="28" t="e" cm="1" vm="1">
        <f t="array" ref="WU3">_xlfn._xlws.FILTER(Rutas,_xlfn._xlws.FILTER($B$2:$B$10000,$B$2:$B$10000&lt;&gt;"")=VALUE(INDEX(IdClientes,MATCH(WU2,Clientes,0))))</f>
        <v>#VALUE!</v>
      </c>
      <c r="WV3" s="28" t="e" cm="1" vm="1">
        <f t="array" ref="WV3">_xlfn._xlws.FILTER(Rutas,_xlfn._xlws.FILTER($B$2:$B$10000,$B$2:$B$10000&lt;&gt;"")=VALUE(INDEX(IdClientes,MATCH(WV2,Clientes,0))))</f>
        <v>#VALUE!</v>
      </c>
      <c r="WW3" s="28" t="e" cm="1" vm="1">
        <f t="array" ref="WW3">_xlfn._xlws.FILTER(Rutas,_xlfn._xlws.FILTER($B$2:$B$10000,$B$2:$B$10000&lt;&gt;"")=VALUE(INDEX(IdClientes,MATCH(WW2,Clientes,0))))</f>
        <v>#VALUE!</v>
      </c>
      <c r="WX3" s="28" t="e" cm="1" vm="1">
        <f t="array" ref="WX3">_xlfn._xlws.FILTER(Rutas,_xlfn._xlws.FILTER($B$2:$B$10000,$B$2:$B$10000&lt;&gt;"")=VALUE(INDEX(IdClientes,MATCH(WX2,Clientes,0))))</f>
        <v>#VALUE!</v>
      </c>
      <c r="WY3" s="28" t="e" cm="1" vm="1">
        <f t="array" ref="WY3">_xlfn._xlws.FILTER(Rutas,_xlfn._xlws.FILTER($B$2:$B$10000,$B$2:$B$10000&lt;&gt;"")=VALUE(INDEX(IdClientes,MATCH(WY2,Clientes,0))))</f>
        <v>#VALUE!</v>
      </c>
      <c r="WZ3" s="28" t="e" cm="1" vm="1">
        <f t="array" ref="WZ3">_xlfn._xlws.FILTER(Rutas,_xlfn._xlws.FILTER($B$2:$B$10000,$B$2:$B$10000&lt;&gt;"")=VALUE(INDEX(IdClientes,MATCH(WZ2,Clientes,0))))</f>
        <v>#VALUE!</v>
      </c>
      <c r="XA3" s="28" t="e" cm="1" vm="1">
        <f t="array" ref="XA3">_xlfn._xlws.FILTER(Rutas,_xlfn._xlws.FILTER($B$2:$B$10000,$B$2:$B$10000&lt;&gt;"")=VALUE(INDEX(IdClientes,MATCH(XA2,Clientes,0))))</f>
        <v>#VALUE!</v>
      </c>
      <c r="XB3" s="28" t="e" cm="1" vm="1">
        <f t="array" ref="XB3">_xlfn._xlws.FILTER(Rutas,_xlfn._xlws.FILTER($B$2:$B$10000,$B$2:$B$10000&lt;&gt;"")=VALUE(INDEX(IdClientes,MATCH(XB2,Clientes,0))))</f>
        <v>#VALUE!</v>
      </c>
      <c r="XC3" s="28" t="e" cm="1" vm="1">
        <f t="array" ref="XC3">_xlfn._xlws.FILTER(Rutas,_xlfn._xlws.FILTER($B$2:$B$10000,$B$2:$B$10000&lt;&gt;"")=VALUE(INDEX(IdClientes,MATCH(XC2,Clientes,0))))</f>
        <v>#VALUE!</v>
      </c>
      <c r="XD3" s="28" t="e" cm="1" vm="1">
        <f t="array" ref="XD3">_xlfn._xlws.FILTER(Rutas,_xlfn._xlws.FILTER($B$2:$B$10000,$B$2:$B$10000&lt;&gt;"")=VALUE(INDEX(IdClientes,MATCH(XD2,Clientes,0))))</f>
        <v>#VALUE!</v>
      </c>
      <c r="XE3" s="28" t="e" cm="1" vm="1">
        <f t="array" ref="XE3">_xlfn._xlws.FILTER(Rutas,_xlfn._xlws.FILTER($B$2:$B$10000,$B$2:$B$10000&lt;&gt;"")=VALUE(INDEX(IdClientes,MATCH(XE2,Clientes,0))))</f>
        <v>#VALUE!</v>
      </c>
      <c r="XF3" s="28" t="e" cm="1" vm="1">
        <f t="array" ref="XF3">_xlfn._xlws.FILTER(Rutas,_xlfn._xlws.FILTER($B$2:$B$10000,$B$2:$B$10000&lt;&gt;"")=VALUE(INDEX(IdClientes,MATCH(XF2,Clientes,0))))</f>
        <v>#VALUE!</v>
      </c>
      <c r="XG3" s="28" t="e" cm="1" vm="1">
        <f t="array" ref="XG3">_xlfn._xlws.FILTER(Rutas,_xlfn._xlws.FILTER($B$2:$B$10000,$B$2:$B$10000&lt;&gt;"")=VALUE(INDEX(IdClientes,MATCH(XG2,Clientes,0))))</f>
        <v>#VALUE!</v>
      </c>
      <c r="XH3" s="28" t="e" cm="1" vm="1">
        <f t="array" ref="XH3">_xlfn._xlws.FILTER(Rutas,_xlfn._xlws.FILTER($B$2:$B$10000,$B$2:$B$10000&lt;&gt;"")=VALUE(INDEX(IdClientes,MATCH(XH2,Clientes,0))))</f>
        <v>#VALUE!</v>
      </c>
      <c r="XI3" s="28" t="e" cm="1" vm="1">
        <f t="array" ref="XI3">_xlfn._xlws.FILTER(Rutas,_xlfn._xlws.FILTER($B$2:$B$10000,$B$2:$B$10000&lt;&gt;"")=VALUE(INDEX(IdClientes,MATCH(XI2,Clientes,0))))</f>
        <v>#VALUE!</v>
      </c>
      <c r="XJ3" s="28" t="e" cm="1" vm="1">
        <f t="array" ref="XJ3">_xlfn._xlws.FILTER(Rutas,_xlfn._xlws.FILTER($B$2:$B$10000,$B$2:$B$10000&lt;&gt;"")=VALUE(INDEX(IdClientes,MATCH(XJ2,Clientes,0))))</f>
        <v>#VALUE!</v>
      </c>
      <c r="XK3" s="28" t="e" cm="1" vm="1">
        <f t="array" ref="XK3">_xlfn._xlws.FILTER(Rutas,_xlfn._xlws.FILTER($B$2:$B$10000,$B$2:$B$10000&lt;&gt;"")=VALUE(INDEX(IdClientes,MATCH(XK2,Clientes,0))))</f>
        <v>#VALUE!</v>
      </c>
      <c r="XL3" s="28" t="e" cm="1" vm="1">
        <f t="array" ref="XL3">_xlfn._xlws.FILTER(Rutas,_xlfn._xlws.FILTER($B$2:$B$10000,$B$2:$B$10000&lt;&gt;"")=VALUE(INDEX(IdClientes,MATCH(XL2,Clientes,0))))</f>
        <v>#VALUE!</v>
      </c>
      <c r="XM3" s="28" t="e" cm="1" vm="1">
        <f t="array" ref="XM3">_xlfn._xlws.FILTER(Rutas,_xlfn._xlws.FILTER($B$2:$B$10000,$B$2:$B$10000&lt;&gt;"")=VALUE(INDEX(IdClientes,MATCH(XM2,Clientes,0))))</f>
        <v>#VALUE!</v>
      </c>
      <c r="XN3" s="28" t="e" cm="1" vm="1">
        <f t="array" ref="XN3">_xlfn._xlws.FILTER(Rutas,_xlfn._xlws.FILTER($B$2:$B$10000,$B$2:$B$10000&lt;&gt;"")=VALUE(INDEX(IdClientes,MATCH(XN2,Clientes,0))))</f>
        <v>#VALUE!</v>
      </c>
      <c r="XO3" s="28" t="e" cm="1" vm="1">
        <f t="array" ref="XO3">_xlfn._xlws.FILTER(Rutas,_xlfn._xlws.FILTER($B$2:$B$10000,$B$2:$B$10000&lt;&gt;"")=VALUE(INDEX(IdClientes,MATCH(XO2,Clientes,0))))</f>
        <v>#VALUE!</v>
      </c>
      <c r="XP3" s="28" t="e" cm="1" vm="1">
        <f t="array" ref="XP3">_xlfn._xlws.FILTER(Rutas,_xlfn._xlws.FILTER($B$2:$B$10000,$B$2:$B$10000&lt;&gt;"")=VALUE(INDEX(IdClientes,MATCH(XP2,Clientes,0))))</f>
        <v>#VALUE!</v>
      </c>
      <c r="XQ3" s="28" t="e" cm="1" vm="1">
        <f t="array" ref="XQ3">_xlfn._xlws.FILTER(Rutas,_xlfn._xlws.FILTER($B$2:$B$10000,$B$2:$B$10000&lt;&gt;"")=VALUE(INDEX(IdClientes,MATCH(XQ2,Clientes,0))))</f>
        <v>#VALUE!</v>
      </c>
      <c r="XR3" s="28" t="e" cm="1" vm="1">
        <f t="array" ref="XR3">_xlfn._xlws.FILTER(Rutas,_xlfn._xlws.FILTER($B$2:$B$10000,$B$2:$B$10000&lt;&gt;"")=VALUE(INDEX(IdClientes,MATCH(XR2,Clientes,0))))</f>
        <v>#VALUE!</v>
      </c>
      <c r="XS3" s="28" t="e" cm="1" vm="1">
        <f t="array" ref="XS3">_xlfn._xlws.FILTER(Rutas,_xlfn._xlws.FILTER($B$2:$B$10000,$B$2:$B$10000&lt;&gt;"")=VALUE(INDEX(IdClientes,MATCH(XS2,Clientes,0))))</f>
        <v>#VALUE!</v>
      </c>
      <c r="XT3" s="28" t="e" cm="1" vm="1">
        <f t="array" ref="XT3">_xlfn._xlws.FILTER(Rutas,_xlfn._xlws.FILTER($B$2:$B$10000,$B$2:$B$10000&lt;&gt;"")=VALUE(INDEX(IdClientes,MATCH(XT2,Clientes,0))))</f>
        <v>#VALUE!</v>
      </c>
      <c r="XU3" s="28" t="e" cm="1" vm="1">
        <f t="array" ref="XU3">_xlfn._xlws.FILTER(Rutas,_xlfn._xlws.FILTER($B$2:$B$10000,$B$2:$B$10000&lt;&gt;"")=VALUE(INDEX(IdClientes,MATCH(XU2,Clientes,0))))</f>
        <v>#VALUE!</v>
      </c>
      <c r="XV3" s="28" t="e" cm="1" vm="1">
        <f t="array" ref="XV3">_xlfn._xlws.FILTER(Rutas,_xlfn._xlws.FILTER($B$2:$B$10000,$B$2:$B$10000&lt;&gt;"")=VALUE(INDEX(IdClientes,MATCH(XV2,Clientes,0))))</f>
        <v>#VALUE!</v>
      </c>
      <c r="XW3" s="28" t="e" cm="1" vm="1">
        <f t="array" ref="XW3">_xlfn._xlws.FILTER(Rutas,_xlfn._xlws.FILTER($B$2:$B$10000,$B$2:$B$10000&lt;&gt;"")=VALUE(INDEX(IdClientes,MATCH(XW2,Clientes,0))))</f>
        <v>#VALUE!</v>
      </c>
      <c r="XX3" s="28" t="e" cm="1" vm="1">
        <f t="array" ref="XX3">_xlfn._xlws.FILTER(Rutas,_xlfn._xlws.FILTER($B$2:$B$10000,$B$2:$B$10000&lt;&gt;"")=VALUE(INDEX(IdClientes,MATCH(XX2,Clientes,0))))</f>
        <v>#VALUE!</v>
      </c>
      <c r="XY3" s="28" t="e" cm="1" vm="1">
        <f t="array" ref="XY3">_xlfn._xlws.FILTER(Rutas,_xlfn._xlws.FILTER($B$2:$B$10000,$B$2:$B$10000&lt;&gt;"")=VALUE(INDEX(IdClientes,MATCH(XY2,Clientes,0))))</f>
        <v>#VALUE!</v>
      </c>
      <c r="XZ3" s="28" t="e" cm="1" vm="1">
        <f t="array" ref="XZ3">_xlfn._xlws.FILTER(Rutas,_xlfn._xlws.FILTER($B$2:$B$10000,$B$2:$B$10000&lt;&gt;"")=VALUE(INDEX(IdClientes,MATCH(XZ2,Clientes,0))))</f>
        <v>#VALUE!</v>
      </c>
      <c r="YA3" s="28" t="e" cm="1" vm="1">
        <f t="array" ref="YA3">_xlfn._xlws.FILTER(Rutas,_xlfn._xlws.FILTER($B$2:$B$10000,$B$2:$B$10000&lt;&gt;"")=VALUE(INDEX(IdClientes,MATCH(YA2,Clientes,0))))</f>
        <v>#VALUE!</v>
      </c>
      <c r="YB3" s="28" t="e" cm="1" vm="1">
        <f t="array" ref="YB3">_xlfn._xlws.FILTER(Rutas,_xlfn._xlws.FILTER($B$2:$B$10000,$B$2:$B$10000&lt;&gt;"")=VALUE(INDEX(IdClientes,MATCH(YB2,Clientes,0))))</f>
        <v>#VALUE!</v>
      </c>
      <c r="YC3" s="28" t="e" cm="1" vm="1">
        <f t="array" ref="YC3">_xlfn._xlws.FILTER(Rutas,_xlfn._xlws.FILTER($B$2:$B$10000,$B$2:$B$10000&lt;&gt;"")=VALUE(INDEX(IdClientes,MATCH(YC2,Clientes,0))))</f>
        <v>#VALUE!</v>
      </c>
      <c r="YD3" s="28" t="e" cm="1" vm="1">
        <f t="array" ref="YD3">_xlfn._xlws.FILTER(Rutas,_xlfn._xlws.FILTER($B$2:$B$10000,$B$2:$B$10000&lt;&gt;"")=VALUE(INDEX(IdClientes,MATCH(YD2,Clientes,0))))</f>
        <v>#VALUE!</v>
      </c>
      <c r="YE3" s="28" t="e" cm="1" vm="1">
        <f t="array" ref="YE3">_xlfn._xlws.FILTER(Rutas,_xlfn._xlws.FILTER($B$2:$B$10000,$B$2:$B$10000&lt;&gt;"")=VALUE(INDEX(IdClientes,MATCH(YE2,Clientes,0))))</f>
        <v>#VALUE!</v>
      </c>
      <c r="YF3" s="28" t="e" cm="1" vm="1">
        <f t="array" ref="YF3">_xlfn._xlws.FILTER(Rutas,_xlfn._xlws.FILTER($B$2:$B$10000,$B$2:$B$10000&lt;&gt;"")=VALUE(INDEX(IdClientes,MATCH(YF2,Clientes,0))))</f>
        <v>#VALUE!</v>
      </c>
      <c r="YG3" s="28" t="e" cm="1" vm="1">
        <f t="array" ref="YG3">_xlfn._xlws.FILTER(Rutas,_xlfn._xlws.FILTER($B$2:$B$10000,$B$2:$B$10000&lt;&gt;"")=VALUE(INDEX(IdClientes,MATCH(YG2,Clientes,0))))</f>
        <v>#VALUE!</v>
      </c>
      <c r="YH3" s="28" t="e" cm="1" vm="1">
        <f t="array" ref="YH3">_xlfn._xlws.FILTER(Rutas,_xlfn._xlws.FILTER($B$2:$B$10000,$B$2:$B$10000&lt;&gt;"")=VALUE(INDEX(IdClientes,MATCH(YH2,Clientes,0))))</f>
        <v>#VALUE!</v>
      </c>
      <c r="YI3" s="28" t="e" cm="1" vm="1">
        <f t="array" ref="YI3">_xlfn._xlws.FILTER(Rutas,_xlfn._xlws.FILTER($B$2:$B$10000,$B$2:$B$10000&lt;&gt;"")=VALUE(INDEX(IdClientes,MATCH(YI2,Clientes,0))))</f>
        <v>#VALUE!</v>
      </c>
      <c r="YJ3" s="28" t="e" cm="1" vm="1">
        <f t="array" ref="YJ3">_xlfn._xlws.FILTER(Rutas,_xlfn._xlws.FILTER($B$2:$B$10000,$B$2:$B$10000&lt;&gt;"")=VALUE(INDEX(IdClientes,MATCH(YJ2,Clientes,0))))</f>
        <v>#VALUE!</v>
      </c>
      <c r="YK3" s="28" t="e" cm="1" vm="1">
        <f t="array" ref="YK3">_xlfn._xlws.FILTER(Rutas,_xlfn._xlws.FILTER($B$2:$B$10000,$B$2:$B$10000&lt;&gt;"")=VALUE(INDEX(IdClientes,MATCH(YK2,Clientes,0))))</f>
        <v>#VALUE!</v>
      </c>
      <c r="YL3" s="28" t="e" cm="1" vm="1">
        <f t="array" ref="YL3">_xlfn._xlws.FILTER(Rutas,_xlfn._xlws.FILTER($B$2:$B$10000,$B$2:$B$10000&lt;&gt;"")=VALUE(INDEX(IdClientes,MATCH(YL2,Clientes,0))))</f>
        <v>#VALUE!</v>
      </c>
      <c r="YM3" s="28" t="e" cm="1" vm="1">
        <f t="array" ref="YM3">_xlfn._xlws.FILTER(Rutas,_xlfn._xlws.FILTER($B$2:$B$10000,$B$2:$B$10000&lt;&gt;"")=VALUE(INDEX(IdClientes,MATCH(YM2,Clientes,0))))</f>
        <v>#VALUE!</v>
      </c>
      <c r="YN3" s="28" t="e" cm="1" vm="1">
        <f t="array" ref="YN3">_xlfn._xlws.FILTER(Rutas,_xlfn._xlws.FILTER($B$2:$B$10000,$B$2:$B$10000&lt;&gt;"")=VALUE(INDEX(IdClientes,MATCH(YN2,Clientes,0))))</f>
        <v>#VALUE!</v>
      </c>
      <c r="YO3" s="28" t="e" cm="1" vm="1">
        <f t="array" ref="YO3">_xlfn._xlws.FILTER(Rutas,_xlfn._xlws.FILTER($B$2:$B$10000,$B$2:$B$10000&lt;&gt;"")=VALUE(INDEX(IdClientes,MATCH(YO2,Clientes,0))))</f>
        <v>#VALUE!</v>
      </c>
      <c r="YP3" s="28" t="e" cm="1" vm="1">
        <f t="array" ref="YP3">_xlfn._xlws.FILTER(Rutas,_xlfn._xlws.FILTER($B$2:$B$10000,$B$2:$B$10000&lt;&gt;"")=VALUE(INDEX(IdClientes,MATCH(YP2,Clientes,0))))</f>
        <v>#VALUE!</v>
      </c>
      <c r="YQ3" s="28" t="e" cm="1" vm="1">
        <f t="array" ref="YQ3">_xlfn._xlws.FILTER(Rutas,_xlfn._xlws.FILTER($B$2:$B$10000,$B$2:$B$10000&lt;&gt;"")=VALUE(INDEX(IdClientes,MATCH(YQ2,Clientes,0))))</f>
        <v>#VALUE!</v>
      </c>
      <c r="YR3" s="28" t="e" cm="1" vm="1">
        <f t="array" ref="YR3">_xlfn._xlws.FILTER(Rutas,_xlfn._xlws.FILTER($B$2:$B$10000,$B$2:$B$10000&lt;&gt;"")=VALUE(INDEX(IdClientes,MATCH(YR2,Clientes,0))))</f>
        <v>#VALUE!</v>
      </c>
      <c r="YS3" s="28" t="e" cm="1" vm="1">
        <f t="array" ref="YS3">_xlfn._xlws.FILTER(Rutas,_xlfn._xlws.FILTER($B$2:$B$10000,$B$2:$B$10000&lt;&gt;"")=VALUE(INDEX(IdClientes,MATCH(YS2,Clientes,0))))</f>
        <v>#VALUE!</v>
      </c>
      <c r="YT3" s="28" t="e" cm="1" vm="1">
        <f t="array" ref="YT3">_xlfn._xlws.FILTER(Rutas,_xlfn._xlws.FILTER($B$2:$B$10000,$B$2:$B$10000&lt;&gt;"")=VALUE(INDEX(IdClientes,MATCH(YT2,Clientes,0))))</f>
        <v>#VALUE!</v>
      </c>
      <c r="YU3" s="28" t="e" cm="1" vm="1">
        <f t="array" ref="YU3">_xlfn._xlws.FILTER(Rutas,_xlfn._xlws.FILTER($B$2:$B$10000,$B$2:$B$10000&lt;&gt;"")=VALUE(INDEX(IdClientes,MATCH(YU2,Clientes,0))))</f>
        <v>#VALUE!</v>
      </c>
      <c r="YV3" s="28" t="e" cm="1" vm="1">
        <f t="array" ref="YV3">_xlfn._xlws.FILTER(Rutas,_xlfn._xlws.FILTER($B$2:$B$10000,$B$2:$B$10000&lt;&gt;"")=VALUE(INDEX(IdClientes,MATCH(YV2,Clientes,0))))</f>
        <v>#VALUE!</v>
      </c>
      <c r="YW3" s="28" t="e" cm="1" vm="1">
        <f t="array" ref="YW3">_xlfn._xlws.FILTER(Rutas,_xlfn._xlws.FILTER($B$2:$B$10000,$B$2:$B$10000&lt;&gt;"")=VALUE(INDEX(IdClientes,MATCH(YW2,Clientes,0))))</f>
        <v>#VALUE!</v>
      </c>
      <c r="YX3" s="28" t="e" cm="1" vm="1">
        <f t="array" ref="YX3">_xlfn._xlws.FILTER(Rutas,_xlfn._xlws.FILTER($B$2:$B$10000,$B$2:$B$10000&lt;&gt;"")=VALUE(INDEX(IdClientes,MATCH(YX2,Clientes,0))))</f>
        <v>#VALUE!</v>
      </c>
      <c r="YY3" s="28" t="e" cm="1" vm="1">
        <f t="array" ref="YY3">_xlfn._xlws.FILTER(Rutas,_xlfn._xlws.FILTER($B$2:$B$10000,$B$2:$B$10000&lt;&gt;"")=VALUE(INDEX(IdClientes,MATCH(YY2,Clientes,0))))</f>
        <v>#VALUE!</v>
      </c>
      <c r="YZ3" s="28" t="e" cm="1" vm="1">
        <f t="array" ref="YZ3">_xlfn._xlws.FILTER(Rutas,_xlfn._xlws.FILTER($B$2:$B$10000,$B$2:$B$10000&lt;&gt;"")=VALUE(INDEX(IdClientes,MATCH(YZ2,Clientes,0))))</f>
        <v>#VALUE!</v>
      </c>
      <c r="ZA3" s="28" t="e" cm="1" vm="1">
        <f t="array" ref="ZA3">_xlfn._xlws.FILTER(Rutas,_xlfn._xlws.FILTER($B$2:$B$10000,$B$2:$B$10000&lt;&gt;"")=VALUE(INDEX(IdClientes,MATCH(ZA2,Clientes,0))))</f>
        <v>#VALUE!</v>
      </c>
      <c r="ZB3" s="28" t="e" cm="1" vm="1">
        <f t="array" ref="ZB3">_xlfn._xlws.FILTER(Rutas,_xlfn._xlws.FILTER($B$2:$B$10000,$B$2:$B$10000&lt;&gt;"")=VALUE(INDEX(IdClientes,MATCH(ZB2,Clientes,0))))</f>
        <v>#VALUE!</v>
      </c>
      <c r="ZC3" s="28" t="e" cm="1" vm="1">
        <f t="array" ref="ZC3">_xlfn._xlws.FILTER(Rutas,_xlfn._xlws.FILTER($B$2:$B$10000,$B$2:$B$10000&lt;&gt;"")=VALUE(INDEX(IdClientes,MATCH(ZC2,Clientes,0))))</f>
        <v>#VALUE!</v>
      </c>
      <c r="ZD3" s="28" t="e" cm="1" vm="1">
        <f t="array" ref="ZD3">_xlfn._xlws.FILTER(Rutas,_xlfn._xlws.FILTER($B$2:$B$10000,$B$2:$B$10000&lt;&gt;"")=VALUE(INDEX(IdClientes,MATCH(ZD2,Clientes,0))))</f>
        <v>#VALUE!</v>
      </c>
      <c r="ZE3" s="28" t="e" cm="1" vm="1">
        <f t="array" ref="ZE3">_xlfn._xlws.FILTER(Rutas,_xlfn._xlws.FILTER($B$2:$B$10000,$B$2:$B$10000&lt;&gt;"")=VALUE(INDEX(IdClientes,MATCH(ZE2,Clientes,0))))</f>
        <v>#VALUE!</v>
      </c>
      <c r="ZF3" s="28" t="e" cm="1" vm="1">
        <f t="array" ref="ZF3">_xlfn._xlws.FILTER(Rutas,_xlfn._xlws.FILTER($B$2:$B$10000,$B$2:$B$10000&lt;&gt;"")=VALUE(INDEX(IdClientes,MATCH(ZF2,Clientes,0))))</f>
        <v>#VALUE!</v>
      </c>
      <c r="ZG3" s="28" t="e" cm="1" vm="1">
        <f t="array" ref="ZG3">_xlfn._xlws.FILTER(Rutas,_xlfn._xlws.FILTER($B$2:$B$10000,$B$2:$B$10000&lt;&gt;"")=VALUE(INDEX(IdClientes,MATCH(ZG2,Clientes,0))))</f>
        <v>#VALUE!</v>
      </c>
      <c r="ZH3" s="28" t="e" cm="1" vm="1">
        <f t="array" ref="ZH3">_xlfn._xlws.FILTER(Rutas,_xlfn._xlws.FILTER($B$2:$B$10000,$B$2:$B$10000&lt;&gt;"")=VALUE(INDEX(IdClientes,MATCH(ZH2,Clientes,0))))</f>
        <v>#VALUE!</v>
      </c>
      <c r="ZI3" s="28" t="e" cm="1" vm="1">
        <f t="array" ref="ZI3">_xlfn._xlws.FILTER(Rutas,_xlfn._xlws.FILTER($B$2:$B$10000,$B$2:$B$10000&lt;&gt;"")=VALUE(INDEX(IdClientes,MATCH(ZI2,Clientes,0))))</f>
        <v>#VALUE!</v>
      </c>
      <c r="ZJ3" s="28" t="e" cm="1" vm="1">
        <f t="array" ref="ZJ3">_xlfn._xlws.FILTER(Rutas,_xlfn._xlws.FILTER($B$2:$B$10000,$B$2:$B$10000&lt;&gt;"")=VALUE(INDEX(IdClientes,MATCH(ZJ2,Clientes,0))))</f>
        <v>#VALUE!</v>
      </c>
      <c r="ZK3" s="28" t="e" cm="1" vm="1">
        <f t="array" ref="ZK3">_xlfn._xlws.FILTER(Rutas,_xlfn._xlws.FILTER($B$2:$B$10000,$B$2:$B$10000&lt;&gt;"")=VALUE(INDEX(IdClientes,MATCH(ZK2,Clientes,0))))</f>
        <v>#VALUE!</v>
      </c>
      <c r="ZL3" s="28" t="e" cm="1" vm="1">
        <f t="array" ref="ZL3">_xlfn._xlws.FILTER(Rutas,_xlfn._xlws.FILTER($B$2:$B$10000,$B$2:$B$10000&lt;&gt;"")=VALUE(INDEX(IdClientes,MATCH(ZL2,Clientes,0))))</f>
        <v>#VALUE!</v>
      </c>
      <c r="ZM3" s="28" t="e" cm="1" vm="1">
        <f t="array" ref="ZM3">_xlfn._xlws.FILTER(Rutas,_xlfn._xlws.FILTER($B$2:$B$10000,$B$2:$B$10000&lt;&gt;"")=VALUE(INDEX(IdClientes,MATCH(ZM2,Clientes,0))))</f>
        <v>#VALUE!</v>
      </c>
      <c r="ZN3" s="28" t="e" cm="1" vm="1">
        <f t="array" ref="ZN3">_xlfn._xlws.FILTER(Rutas,_xlfn._xlws.FILTER($B$2:$B$10000,$B$2:$B$10000&lt;&gt;"")=VALUE(INDEX(IdClientes,MATCH(ZN2,Clientes,0))))</f>
        <v>#VALUE!</v>
      </c>
      <c r="ZO3" s="28" t="e" cm="1" vm="1">
        <f t="array" ref="ZO3">_xlfn._xlws.FILTER(Rutas,_xlfn._xlws.FILTER($B$2:$B$10000,$B$2:$B$10000&lt;&gt;"")=VALUE(INDEX(IdClientes,MATCH(ZO2,Clientes,0))))</f>
        <v>#VALUE!</v>
      </c>
      <c r="ZP3" s="28" t="e" cm="1" vm="1">
        <f t="array" ref="ZP3">_xlfn._xlws.FILTER(Rutas,_xlfn._xlws.FILTER($B$2:$B$10000,$B$2:$B$10000&lt;&gt;"")=VALUE(INDEX(IdClientes,MATCH(ZP2,Clientes,0))))</f>
        <v>#VALUE!</v>
      </c>
      <c r="ZQ3" s="28" t="e" cm="1" vm="1">
        <f t="array" ref="ZQ3">_xlfn._xlws.FILTER(Rutas,_xlfn._xlws.FILTER($B$2:$B$10000,$B$2:$B$10000&lt;&gt;"")=VALUE(INDEX(IdClientes,MATCH(ZQ2,Clientes,0))))</f>
        <v>#VALUE!</v>
      </c>
      <c r="ZR3" s="28" t="e" cm="1" vm="1">
        <f t="array" ref="ZR3">_xlfn._xlws.FILTER(Rutas,_xlfn._xlws.FILTER($B$2:$B$10000,$B$2:$B$10000&lt;&gt;"")=VALUE(INDEX(IdClientes,MATCH(ZR2,Clientes,0))))</f>
        <v>#VALUE!</v>
      </c>
      <c r="ZS3" s="28" t="e" cm="1" vm="1">
        <f t="array" ref="ZS3">_xlfn._xlws.FILTER(Rutas,_xlfn._xlws.FILTER($B$2:$B$10000,$B$2:$B$10000&lt;&gt;"")=VALUE(INDEX(IdClientes,MATCH(ZS2,Clientes,0))))</f>
        <v>#VALUE!</v>
      </c>
      <c r="ZT3" s="28" t="e" cm="1" vm="1">
        <f t="array" ref="ZT3">_xlfn._xlws.FILTER(Rutas,_xlfn._xlws.FILTER($B$2:$B$10000,$B$2:$B$10000&lt;&gt;"")=VALUE(INDEX(IdClientes,MATCH(ZT2,Clientes,0))))</f>
        <v>#VALUE!</v>
      </c>
      <c r="ZU3" s="28" t="e" cm="1" vm="1">
        <f t="array" ref="ZU3">_xlfn._xlws.FILTER(Rutas,_xlfn._xlws.FILTER($B$2:$B$10000,$B$2:$B$10000&lt;&gt;"")=VALUE(INDEX(IdClientes,MATCH(ZU2,Clientes,0))))</f>
        <v>#VALUE!</v>
      </c>
      <c r="ZV3" s="28" t="e" cm="1" vm="1">
        <f t="array" ref="ZV3">_xlfn._xlws.FILTER(Rutas,_xlfn._xlws.FILTER($B$2:$B$10000,$B$2:$B$10000&lt;&gt;"")=VALUE(INDEX(IdClientes,MATCH(ZV2,Clientes,0))))</f>
        <v>#VALUE!</v>
      </c>
      <c r="ZW3" s="28" t="e" cm="1" vm="1">
        <f t="array" ref="ZW3">_xlfn._xlws.FILTER(Rutas,_xlfn._xlws.FILTER($B$2:$B$10000,$B$2:$B$10000&lt;&gt;"")=VALUE(INDEX(IdClientes,MATCH(ZW2,Clientes,0))))</f>
        <v>#VALUE!</v>
      </c>
      <c r="ZX3" s="28" t="e" cm="1" vm="1">
        <f t="array" ref="ZX3">_xlfn._xlws.FILTER(Rutas,_xlfn._xlws.FILTER($B$2:$B$10000,$B$2:$B$10000&lt;&gt;"")=VALUE(INDEX(IdClientes,MATCH(ZX2,Clientes,0))))</f>
        <v>#VALUE!</v>
      </c>
      <c r="ZY3" s="28" t="e" cm="1" vm="1">
        <f t="array" ref="ZY3">_xlfn._xlws.FILTER(Rutas,_xlfn._xlws.FILTER($B$2:$B$10000,$B$2:$B$10000&lt;&gt;"")=VALUE(INDEX(IdClientes,MATCH(ZY2,Clientes,0))))</f>
        <v>#VALUE!</v>
      </c>
      <c r="ZZ3" s="28" t="e" cm="1" vm="1">
        <f t="array" ref="ZZ3">_xlfn._xlws.FILTER(Rutas,_xlfn._xlws.FILTER($B$2:$B$10000,$B$2:$B$10000&lt;&gt;"")=VALUE(INDEX(IdClientes,MATCH(ZZ2,Clientes,0))))</f>
        <v>#VALUE!</v>
      </c>
      <c r="AAA3" s="28" t="e" cm="1" vm="1">
        <f t="array" ref="AAA3">_xlfn._xlws.FILTER(Rutas,_xlfn._xlws.FILTER($B$2:$B$10000,$B$2:$B$10000&lt;&gt;"")=VALUE(INDEX(IdClientes,MATCH(AAA2,Clientes,0))))</f>
        <v>#VALUE!</v>
      </c>
      <c r="AAB3" s="28" t="e" cm="1" vm="1">
        <f t="array" ref="AAB3">_xlfn._xlws.FILTER(Rutas,_xlfn._xlws.FILTER($B$2:$B$10000,$B$2:$B$10000&lt;&gt;"")=VALUE(INDEX(IdClientes,MATCH(AAB2,Clientes,0))))</f>
        <v>#VALUE!</v>
      </c>
      <c r="AAC3" s="28" t="e" cm="1" vm="1">
        <f t="array" ref="AAC3">_xlfn._xlws.FILTER(Rutas,_xlfn._xlws.FILTER($B$2:$B$10000,$B$2:$B$10000&lt;&gt;"")=VALUE(INDEX(IdClientes,MATCH(AAC2,Clientes,0))))</f>
        <v>#VALUE!</v>
      </c>
      <c r="AAD3" s="28" t="e" cm="1" vm="1">
        <f t="array" ref="AAD3">_xlfn._xlws.FILTER(Rutas,_xlfn._xlws.FILTER($B$2:$B$10000,$B$2:$B$10000&lt;&gt;"")=VALUE(INDEX(IdClientes,MATCH(AAD2,Clientes,0))))</f>
        <v>#VALUE!</v>
      </c>
      <c r="AAE3" s="28" t="e" cm="1" vm="1">
        <f t="array" ref="AAE3">_xlfn._xlws.FILTER(Rutas,_xlfn._xlws.FILTER($B$2:$B$10000,$B$2:$B$10000&lt;&gt;"")=VALUE(INDEX(IdClientes,MATCH(AAE2,Clientes,0))))</f>
        <v>#VALUE!</v>
      </c>
      <c r="AAF3" s="28" t="e" cm="1" vm="1">
        <f t="array" ref="AAF3">_xlfn._xlws.FILTER(Rutas,_xlfn._xlws.FILTER($B$2:$B$10000,$B$2:$B$10000&lt;&gt;"")=VALUE(INDEX(IdClientes,MATCH(AAF2,Clientes,0))))</f>
        <v>#VALUE!</v>
      </c>
      <c r="AAG3" s="28" t="e" cm="1" vm="1">
        <f t="array" ref="AAG3">_xlfn._xlws.FILTER(Rutas,_xlfn._xlws.FILTER($B$2:$B$10000,$B$2:$B$10000&lt;&gt;"")=VALUE(INDEX(IdClientes,MATCH(AAG2,Clientes,0))))</f>
        <v>#VALUE!</v>
      </c>
      <c r="AAH3" s="28" t="e" cm="1" vm="1">
        <f t="array" ref="AAH3">_xlfn._xlws.FILTER(Rutas,_xlfn._xlws.FILTER($B$2:$B$10000,$B$2:$B$10000&lt;&gt;"")=VALUE(INDEX(IdClientes,MATCH(AAH2,Clientes,0))))</f>
        <v>#VALUE!</v>
      </c>
      <c r="AAI3" s="28" t="e" cm="1" vm="1">
        <f t="array" ref="AAI3">_xlfn._xlws.FILTER(Rutas,_xlfn._xlws.FILTER($B$2:$B$10000,$B$2:$B$10000&lt;&gt;"")=VALUE(INDEX(IdClientes,MATCH(AAI2,Clientes,0))))</f>
        <v>#VALUE!</v>
      </c>
      <c r="AAJ3" s="28" t="e" cm="1" vm="1">
        <f t="array" ref="AAJ3">_xlfn._xlws.FILTER(Rutas,_xlfn._xlws.FILTER($B$2:$B$10000,$B$2:$B$10000&lt;&gt;"")=VALUE(INDEX(IdClientes,MATCH(AAJ2,Clientes,0))))</f>
        <v>#VALUE!</v>
      </c>
      <c r="AAK3" s="28" t="e" cm="1" vm="1">
        <f t="array" ref="AAK3">_xlfn._xlws.FILTER(Rutas,_xlfn._xlws.FILTER($B$2:$B$10000,$B$2:$B$10000&lt;&gt;"")=VALUE(INDEX(IdClientes,MATCH(AAK2,Clientes,0))))</f>
        <v>#VALUE!</v>
      </c>
      <c r="AAL3" s="28" t="e" cm="1" vm="1">
        <f t="array" ref="AAL3">_xlfn._xlws.FILTER(Rutas,_xlfn._xlws.FILTER($B$2:$B$10000,$B$2:$B$10000&lt;&gt;"")=VALUE(INDEX(IdClientes,MATCH(AAL2,Clientes,0))))</f>
        <v>#VALUE!</v>
      </c>
      <c r="AAM3" s="28" t="e" cm="1" vm="1">
        <f t="array" ref="AAM3">_xlfn._xlws.FILTER(Rutas,_xlfn._xlws.FILTER($B$2:$B$10000,$B$2:$B$10000&lt;&gt;"")=VALUE(INDEX(IdClientes,MATCH(AAM2,Clientes,0))))</f>
        <v>#VALUE!</v>
      </c>
      <c r="AAN3" s="28" t="e" cm="1" vm="1">
        <f t="array" ref="AAN3">_xlfn._xlws.FILTER(Rutas,_xlfn._xlws.FILTER($B$2:$B$10000,$B$2:$B$10000&lt;&gt;"")=VALUE(INDEX(IdClientes,MATCH(AAN2,Clientes,0))))</f>
        <v>#VALUE!</v>
      </c>
      <c r="AAO3" s="28" t="e" cm="1" vm="1">
        <f t="array" ref="AAO3">_xlfn._xlws.FILTER(Rutas,_xlfn._xlws.FILTER($B$2:$B$10000,$B$2:$B$10000&lt;&gt;"")=VALUE(INDEX(IdClientes,MATCH(AAO2,Clientes,0))))</f>
        <v>#VALUE!</v>
      </c>
      <c r="AAP3" s="28" t="e" cm="1" vm="1">
        <f t="array" ref="AAP3">_xlfn._xlws.FILTER(Rutas,_xlfn._xlws.FILTER($B$2:$B$10000,$B$2:$B$10000&lt;&gt;"")=VALUE(INDEX(IdClientes,MATCH(AAP2,Clientes,0))))</f>
        <v>#VALUE!</v>
      </c>
      <c r="AAQ3" s="28" t="e" cm="1" vm="1">
        <f t="array" ref="AAQ3">_xlfn._xlws.FILTER(Rutas,_xlfn._xlws.FILTER($B$2:$B$10000,$B$2:$B$10000&lt;&gt;"")=VALUE(INDEX(IdClientes,MATCH(AAQ2,Clientes,0))))</f>
        <v>#VALUE!</v>
      </c>
      <c r="AAR3" s="28" t="e" cm="1" vm="1">
        <f t="array" ref="AAR3">_xlfn._xlws.FILTER(Rutas,_xlfn._xlws.FILTER($B$2:$B$10000,$B$2:$B$10000&lt;&gt;"")=VALUE(INDEX(IdClientes,MATCH(AAR2,Clientes,0))))</f>
        <v>#VALUE!</v>
      </c>
      <c r="AAS3" s="28" t="e" cm="1" vm="1">
        <f t="array" ref="AAS3">_xlfn._xlws.FILTER(Rutas,_xlfn._xlws.FILTER($B$2:$B$10000,$B$2:$B$10000&lt;&gt;"")=VALUE(INDEX(IdClientes,MATCH(AAS2,Clientes,0))))</f>
        <v>#VALUE!</v>
      </c>
      <c r="AAT3" s="28" t="e" cm="1" vm="1">
        <f t="array" ref="AAT3">_xlfn._xlws.FILTER(Rutas,_xlfn._xlws.FILTER($B$2:$B$10000,$B$2:$B$10000&lt;&gt;"")=VALUE(INDEX(IdClientes,MATCH(AAT2,Clientes,0))))</f>
        <v>#VALUE!</v>
      </c>
      <c r="AAU3" s="28" t="e" cm="1" vm="1">
        <f t="array" ref="AAU3">_xlfn._xlws.FILTER(Rutas,_xlfn._xlws.FILTER($B$2:$B$10000,$B$2:$B$10000&lt;&gt;"")=VALUE(INDEX(IdClientes,MATCH(AAU2,Clientes,0))))</f>
        <v>#VALUE!</v>
      </c>
      <c r="AAV3" s="28" t="e" cm="1" vm="1">
        <f t="array" ref="AAV3">_xlfn._xlws.FILTER(Rutas,_xlfn._xlws.FILTER($B$2:$B$10000,$B$2:$B$10000&lt;&gt;"")=VALUE(INDEX(IdClientes,MATCH(AAV2,Clientes,0))))</f>
        <v>#VALUE!</v>
      </c>
      <c r="AAW3" s="28" t="e" cm="1" vm="1">
        <f t="array" ref="AAW3">_xlfn._xlws.FILTER(Rutas,_xlfn._xlws.FILTER($B$2:$B$10000,$B$2:$B$10000&lt;&gt;"")=VALUE(INDEX(IdClientes,MATCH(AAW2,Clientes,0))))</f>
        <v>#VALUE!</v>
      </c>
      <c r="AAX3" s="28" t="e" cm="1" vm="1">
        <f t="array" ref="AAX3">_xlfn._xlws.FILTER(Rutas,_xlfn._xlws.FILTER($B$2:$B$10000,$B$2:$B$10000&lt;&gt;"")=VALUE(INDEX(IdClientes,MATCH(AAX2,Clientes,0))))</f>
        <v>#VALUE!</v>
      </c>
      <c r="AAY3" s="28" t="e" cm="1" vm="1">
        <f t="array" ref="AAY3">_xlfn._xlws.FILTER(Rutas,_xlfn._xlws.FILTER($B$2:$B$10000,$B$2:$B$10000&lt;&gt;"")=VALUE(INDEX(IdClientes,MATCH(AAY2,Clientes,0))))</f>
        <v>#VALUE!</v>
      </c>
      <c r="AAZ3" s="28" t="e" cm="1" vm="1">
        <f t="array" ref="AAZ3">_xlfn._xlws.FILTER(Rutas,_xlfn._xlws.FILTER($B$2:$B$10000,$B$2:$B$10000&lt;&gt;"")=VALUE(INDEX(IdClientes,MATCH(AAZ2,Clientes,0))))</f>
        <v>#VALUE!</v>
      </c>
      <c r="ABA3" s="28" t="e" cm="1" vm="1">
        <f t="array" ref="ABA3">_xlfn._xlws.FILTER(Rutas,_xlfn._xlws.FILTER($B$2:$B$10000,$B$2:$B$10000&lt;&gt;"")=VALUE(INDEX(IdClientes,MATCH(ABA2,Clientes,0))))</f>
        <v>#VALUE!</v>
      </c>
      <c r="ABB3" s="28" t="e" cm="1" vm="1">
        <f t="array" ref="ABB3">_xlfn._xlws.FILTER(Rutas,_xlfn._xlws.FILTER($B$2:$B$10000,$B$2:$B$10000&lt;&gt;"")=VALUE(INDEX(IdClientes,MATCH(ABB2,Clientes,0))))</f>
        <v>#VALUE!</v>
      </c>
      <c r="ABC3" s="28" t="e" cm="1" vm="1">
        <f t="array" ref="ABC3">_xlfn._xlws.FILTER(Rutas,_xlfn._xlws.FILTER($B$2:$B$10000,$B$2:$B$10000&lt;&gt;"")=VALUE(INDEX(IdClientes,MATCH(ABC2,Clientes,0))))</f>
        <v>#VALUE!</v>
      </c>
      <c r="ABD3" s="28" t="e" cm="1" vm="1">
        <f t="array" ref="ABD3">_xlfn._xlws.FILTER(Rutas,_xlfn._xlws.FILTER($B$2:$B$10000,$B$2:$B$10000&lt;&gt;"")=VALUE(INDEX(IdClientes,MATCH(ABD2,Clientes,0))))</f>
        <v>#VALUE!</v>
      </c>
      <c r="ABE3" s="28" t="e" cm="1" vm="1">
        <f t="array" ref="ABE3">_xlfn._xlws.FILTER(Rutas,_xlfn._xlws.FILTER($B$2:$B$10000,$B$2:$B$10000&lt;&gt;"")=VALUE(INDEX(IdClientes,MATCH(ABE2,Clientes,0))))</f>
        <v>#VALUE!</v>
      </c>
      <c r="ABF3" s="28" t="e" cm="1" vm="1">
        <f t="array" ref="ABF3">_xlfn._xlws.FILTER(Rutas,_xlfn._xlws.FILTER($B$2:$B$10000,$B$2:$B$10000&lt;&gt;"")=VALUE(INDEX(IdClientes,MATCH(ABF2,Clientes,0))))</f>
        <v>#VALUE!</v>
      </c>
      <c r="ABG3" s="28" t="e" cm="1" vm="1">
        <f t="array" ref="ABG3">_xlfn._xlws.FILTER(Rutas,_xlfn._xlws.FILTER($B$2:$B$10000,$B$2:$B$10000&lt;&gt;"")=VALUE(INDEX(IdClientes,MATCH(ABG2,Clientes,0))))</f>
        <v>#VALUE!</v>
      </c>
      <c r="ABH3" s="28" t="e" cm="1" vm="1">
        <f t="array" ref="ABH3">_xlfn._xlws.FILTER(Rutas,_xlfn._xlws.FILTER($B$2:$B$10000,$B$2:$B$10000&lt;&gt;"")=VALUE(INDEX(IdClientes,MATCH(ABH2,Clientes,0))))</f>
        <v>#VALUE!</v>
      </c>
      <c r="ABI3" s="28" t="e" cm="1" vm="1">
        <f t="array" ref="ABI3">_xlfn._xlws.FILTER(Rutas,_xlfn._xlws.FILTER($B$2:$B$10000,$B$2:$B$10000&lt;&gt;"")=VALUE(INDEX(IdClientes,MATCH(ABI2,Clientes,0))))</f>
        <v>#VALUE!</v>
      </c>
      <c r="ABJ3" s="28" t="e" cm="1" vm="1">
        <f t="array" ref="ABJ3">_xlfn._xlws.FILTER(Rutas,_xlfn._xlws.FILTER($B$2:$B$10000,$B$2:$B$10000&lt;&gt;"")=VALUE(INDEX(IdClientes,MATCH(ABJ2,Clientes,0))))</f>
        <v>#VALUE!</v>
      </c>
      <c r="ABK3" s="28" t="e" cm="1" vm="1">
        <f t="array" ref="ABK3">_xlfn._xlws.FILTER(Rutas,_xlfn._xlws.FILTER($B$2:$B$10000,$B$2:$B$10000&lt;&gt;"")=VALUE(INDEX(IdClientes,MATCH(ABK2,Clientes,0))))</f>
        <v>#VALUE!</v>
      </c>
      <c r="ABL3" s="28" t="e" cm="1" vm="1">
        <f t="array" ref="ABL3">_xlfn._xlws.FILTER(Rutas,_xlfn._xlws.FILTER($B$2:$B$10000,$B$2:$B$10000&lt;&gt;"")=VALUE(INDEX(IdClientes,MATCH(ABL2,Clientes,0))))</f>
        <v>#VALUE!</v>
      </c>
      <c r="ABM3" s="28" t="e" cm="1" vm="1">
        <f t="array" ref="ABM3">_xlfn._xlws.FILTER(Rutas,_xlfn._xlws.FILTER($B$2:$B$10000,$B$2:$B$10000&lt;&gt;"")=VALUE(INDEX(IdClientes,MATCH(ABM2,Clientes,0))))</f>
        <v>#VALUE!</v>
      </c>
      <c r="ABN3" s="28" t="e" cm="1" vm="1">
        <f t="array" ref="ABN3">_xlfn._xlws.FILTER(Rutas,_xlfn._xlws.FILTER($B$2:$B$10000,$B$2:$B$10000&lt;&gt;"")=VALUE(INDEX(IdClientes,MATCH(ABN2,Clientes,0))))</f>
        <v>#VALUE!</v>
      </c>
      <c r="ABO3" s="28" t="e" cm="1" vm="1">
        <f t="array" ref="ABO3">_xlfn._xlws.FILTER(Rutas,_xlfn._xlws.FILTER($B$2:$B$10000,$B$2:$B$10000&lt;&gt;"")=VALUE(INDEX(IdClientes,MATCH(ABO2,Clientes,0))))</f>
        <v>#VALUE!</v>
      </c>
      <c r="ABP3" s="28" t="e" cm="1" vm="1">
        <f t="array" ref="ABP3">_xlfn._xlws.FILTER(Rutas,_xlfn._xlws.FILTER($B$2:$B$10000,$B$2:$B$10000&lt;&gt;"")=VALUE(INDEX(IdClientes,MATCH(ABP2,Clientes,0))))</f>
        <v>#VALUE!</v>
      </c>
      <c r="ABQ3" s="28" t="e" cm="1" vm="1">
        <f t="array" ref="ABQ3">_xlfn._xlws.FILTER(Rutas,_xlfn._xlws.FILTER($B$2:$B$10000,$B$2:$B$10000&lt;&gt;"")=VALUE(INDEX(IdClientes,MATCH(ABQ2,Clientes,0))))</f>
        <v>#VALUE!</v>
      </c>
      <c r="ABR3" s="28" t="e" cm="1" vm="1">
        <f t="array" ref="ABR3">_xlfn._xlws.FILTER(Rutas,_xlfn._xlws.FILTER($B$2:$B$10000,$B$2:$B$10000&lt;&gt;"")=VALUE(INDEX(IdClientes,MATCH(ABR2,Clientes,0))))</f>
        <v>#VALUE!</v>
      </c>
      <c r="ABS3" s="28" t="e" cm="1" vm="1">
        <f t="array" ref="ABS3">_xlfn._xlws.FILTER(Rutas,_xlfn._xlws.FILTER($B$2:$B$10000,$B$2:$B$10000&lt;&gt;"")=VALUE(INDEX(IdClientes,MATCH(ABS2,Clientes,0))))</f>
        <v>#VALUE!</v>
      </c>
      <c r="ABT3" s="28" t="e" cm="1" vm="1">
        <f t="array" ref="ABT3">_xlfn._xlws.FILTER(Rutas,_xlfn._xlws.FILTER($B$2:$B$10000,$B$2:$B$10000&lt;&gt;"")=VALUE(INDEX(IdClientes,MATCH(ABT2,Clientes,0))))</f>
        <v>#VALUE!</v>
      </c>
      <c r="ABU3" s="28" t="e" cm="1" vm="1">
        <f t="array" ref="ABU3">_xlfn._xlws.FILTER(Rutas,_xlfn._xlws.FILTER($B$2:$B$10000,$B$2:$B$10000&lt;&gt;"")=VALUE(INDEX(IdClientes,MATCH(ABU2,Clientes,0))))</f>
        <v>#VALUE!</v>
      </c>
      <c r="ABV3" s="28" t="e" cm="1" vm="1">
        <f t="array" ref="ABV3">_xlfn._xlws.FILTER(Rutas,_xlfn._xlws.FILTER($B$2:$B$10000,$B$2:$B$10000&lt;&gt;"")=VALUE(INDEX(IdClientes,MATCH(ABV2,Clientes,0))))</f>
        <v>#VALUE!</v>
      </c>
      <c r="ABW3" s="28" t="e" cm="1" vm="1">
        <f t="array" ref="ABW3">_xlfn._xlws.FILTER(Rutas,_xlfn._xlws.FILTER($B$2:$B$10000,$B$2:$B$10000&lt;&gt;"")=VALUE(INDEX(IdClientes,MATCH(ABW2,Clientes,0))))</f>
        <v>#VALUE!</v>
      </c>
      <c r="ABX3" s="28" t="e" cm="1" vm="1">
        <f t="array" ref="ABX3">_xlfn._xlws.FILTER(Rutas,_xlfn._xlws.FILTER($B$2:$B$10000,$B$2:$B$10000&lt;&gt;"")=VALUE(INDEX(IdClientes,MATCH(ABX2,Clientes,0))))</f>
        <v>#VALUE!</v>
      </c>
      <c r="ABY3" s="28" t="e" cm="1" vm="1">
        <f t="array" ref="ABY3">_xlfn._xlws.FILTER(Rutas,_xlfn._xlws.FILTER($B$2:$B$10000,$B$2:$B$10000&lt;&gt;"")=VALUE(INDEX(IdClientes,MATCH(ABY2,Clientes,0))))</f>
        <v>#VALUE!</v>
      </c>
      <c r="ABZ3" s="28" t="e" cm="1" vm="1">
        <f t="array" ref="ABZ3">_xlfn._xlws.FILTER(Rutas,_xlfn._xlws.FILTER($B$2:$B$10000,$B$2:$B$10000&lt;&gt;"")=VALUE(INDEX(IdClientes,MATCH(ABZ2,Clientes,0))))</f>
        <v>#VALUE!</v>
      </c>
      <c r="ACA3" s="28" t="e" cm="1" vm="1">
        <f t="array" ref="ACA3">_xlfn._xlws.FILTER(Rutas,_xlfn._xlws.FILTER($B$2:$B$10000,$B$2:$B$10000&lt;&gt;"")=VALUE(INDEX(IdClientes,MATCH(ACA2,Clientes,0))))</f>
        <v>#VALUE!</v>
      </c>
      <c r="ACB3" s="28" t="e" cm="1" vm="1">
        <f t="array" ref="ACB3">_xlfn._xlws.FILTER(Rutas,_xlfn._xlws.FILTER($B$2:$B$10000,$B$2:$B$10000&lt;&gt;"")=VALUE(INDEX(IdClientes,MATCH(ACB2,Clientes,0))))</f>
        <v>#VALUE!</v>
      </c>
      <c r="ACC3" s="28" t="e" cm="1" vm="1">
        <f t="array" ref="ACC3">_xlfn._xlws.FILTER(Rutas,_xlfn._xlws.FILTER($B$2:$B$10000,$B$2:$B$10000&lt;&gt;"")=VALUE(INDEX(IdClientes,MATCH(ACC2,Clientes,0))))</f>
        <v>#VALUE!</v>
      </c>
      <c r="ACD3" s="28" t="e" cm="1" vm="1">
        <f t="array" ref="ACD3">_xlfn._xlws.FILTER(Rutas,_xlfn._xlws.FILTER($B$2:$B$10000,$B$2:$B$10000&lt;&gt;"")=VALUE(INDEX(IdClientes,MATCH(ACD2,Clientes,0))))</f>
        <v>#VALUE!</v>
      </c>
      <c r="ACE3" s="28" t="e" cm="1" vm="1">
        <f t="array" ref="ACE3">_xlfn._xlws.FILTER(Rutas,_xlfn._xlws.FILTER($B$2:$B$10000,$B$2:$B$10000&lt;&gt;"")=VALUE(INDEX(IdClientes,MATCH(ACE2,Clientes,0))))</f>
        <v>#VALUE!</v>
      </c>
      <c r="ACF3" s="28" t="e" cm="1" vm="1">
        <f t="array" ref="ACF3">_xlfn._xlws.FILTER(Rutas,_xlfn._xlws.FILTER($B$2:$B$10000,$B$2:$B$10000&lt;&gt;"")=VALUE(INDEX(IdClientes,MATCH(ACF2,Clientes,0))))</f>
        <v>#VALUE!</v>
      </c>
      <c r="ACG3" s="28" t="e" cm="1" vm="1">
        <f t="array" ref="ACG3">_xlfn._xlws.FILTER(Rutas,_xlfn._xlws.FILTER($B$2:$B$10000,$B$2:$B$10000&lt;&gt;"")=VALUE(INDEX(IdClientes,MATCH(ACG2,Clientes,0))))</f>
        <v>#VALUE!</v>
      </c>
      <c r="ACH3" s="28" t="e" cm="1" vm="1">
        <f t="array" ref="ACH3">_xlfn._xlws.FILTER(Rutas,_xlfn._xlws.FILTER($B$2:$B$10000,$B$2:$B$10000&lt;&gt;"")=VALUE(INDEX(IdClientes,MATCH(ACH2,Clientes,0))))</f>
        <v>#VALUE!</v>
      </c>
      <c r="ACI3" s="28" t="e" cm="1" vm="1">
        <f t="array" ref="ACI3">_xlfn._xlws.FILTER(Rutas,_xlfn._xlws.FILTER($B$2:$B$10000,$B$2:$B$10000&lt;&gt;"")=VALUE(INDEX(IdClientes,MATCH(ACI2,Clientes,0))))</f>
        <v>#VALUE!</v>
      </c>
      <c r="ACJ3" s="28" t="e" cm="1" vm="1">
        <f t="array" ref="ACJ3">_xlfn._xlws.FILTER(Rutas,_xlfn._xlws.FILTER($B$2:$B$10000,$B$2:$B$10000&lt;&gt;"")=VALUE(INDEX(IdClientes,MATCH(ACJ2,Clientes,0))))</f>
        <v>#VALUE!</v>
      </c>
      <c r="ACK3" s="28" t="e" cm="1" vm="1">
        <f t="array" ref="ACK3">_xlfn._xlws.FILTER(Rutas,_xlfn._xlws.FILTER($B$2:$B$10000,$B$2:$B$10000&lt;&gt;"")=VALUE(INDEX(IdClientes,MATCH(ACK2,Clientes,0))))</f>
        <v>#VALUE!</v>
      </c>
      <c r="ACL3" s="28" t="e" cm="1" vm="1">
        <f t="array" ref="ACL3">_xlfn._xlws.FILTER(Rutas,_xlfn._xlws.FILTER($B$2:$B$10000,$B$2:$B$10000&lt;&gt;"")=VALUE(INDEX(IdClientes,MATCH(ACL2,Clientes,0))))</f>
        <v>#VALUE!</v>
      </c>
      <c r="ACM3" s="28" t="e" cm="1" vm="1">
        <f t="array" ref="ACM3">_xlfn._xlws.FILTER(Rutas,_xlfn._xlws.FILTER($B$2:$B$10000,$B$2:$B$10000&lt;&gt;"")=VALUE(INDEX(IdClientes,MATCH(ACM2,Clientes,0))))</f>
        <v>#VALUE!</v>
      </c>
      <c r="ACN3" s="28" t="e" cm="1" vm="1">
        <f t="array" ref="ACN3">_xlfn._xlws.FILTER(Rutas,_xlfn._xlws.FILTER($B$2:$B$10000,$B$2:$B$10000&lt;&gt;"")=VALUE(INDEX(IdClientes,MATCH(ACN2,Clientes,0))))</f>
        <v>#VALUE!</v>
      </c>
      <c r="ACO3" s="28" t="e" cm="1" vm="1">
        <f t="array" ref="ACO3">_xlfn._xlws.FILTER(Rutas,_xlfn._xlws.FILTER($B$2:$B$10000,$B$2:$B$10000&lt;&gt;"")=VALUE(INDEX(IdClientes,MATCH(ACO2,Clientes,0))))</f>
        <v>#VALUE!</v>
      </c>
      <c r="ACP3" s="28" t="e" cm="1" vm="1">
        <f t="array" ref="ACP3">_xlfn._xlws.FILTER(Rutas,_xlfn._xlws.FILTER($B$2:$B$10000,$B$2:$B$10000&lt;&gt;"")=VALUE(INDEX(IdClientes,MATCH(ACP2,Clientes,0))))</f>
        <v>#VALUE!</v>
      </c>
      <c r="ACQ3" s="28" t="e" cm="1" vm="1">
        <f t="array" ref="ACQ3">_xlfn._xlws.FILTER(Rutas,_xlfn._xlws.FILTER($B$2:$B$10000,$B$2:$B$10000&lt;&gt;"")=VALUE(INDEX(IdClientes,MATCH(ACQ2,Clientes,0))))</f>
        <v>#VALUE!</v>
      </c>
      <c r="ACR3" s="28" t="e" cm="1" vm="1">
        <f t="array" ref="ACR3">_xlfn._xlws.FILTER(Rutas,_xlfn._xlws.FILTER($B$2:$B$10000,$B$2:$B$10000&lt;&gt;"")=VALUE(INDEX(IdClientes,MATCH(ACR2,Clientes,0))))</f>
        <v>#VALUE!</v>
      </c>
      <c r="ACS3" s="28" t="e" cm="1" vm="1">
        <f t="array" ref="ACS3">_xlfn._xlws.FILTER(Rutas,_xlfn._xlws.FILTER($B$2:$B$10000,$B$2:$B$10000&lt;&gt;"")=VALUE(INDEX(IdClientes,MATCH(ACS2,Clientes,0))))</f>
        <v>#VALUE!</v>
      </c>
      <c r="ACT3" s="28" t="e" cm="1" vm="1">
        <f t="array" ref="ACT3">_xlfn._xlws.FILTER(Rutas,_xlfn._xlws.FILTER($B$2:$B$10000,$B$2:$B$10000&lt;&gt;"")=VALUE(INDEX(IdClientes,MATCH(ACT2,Clientes,0))))</f>
        <v>#VALUE!</v>
      </c>
      <c r="ACU3" s="28" t="e" cm="1" vm="1">
        <f t="array" ref="ACU3">_xlfn._xlws.FILTER(Rutas,_xlfn._xlws.FILTER($B$2:$B$10000,$B$2:$B$10000&lt;&gt;"")=VALUE(INDEX(IdClientes,MATCH(ACU2,Clientes,0))))</f>
        <v>#VALUE!</v>
      </c>
      <c r="ACV3" s="28" t="e" cm="1" vm="1">
        <f t="array" ref="ACV3">_xlfn._xlws.FILTER(Rutas,_xlfn._xlws.FILTER($B$2:$B$10000,$B$2:$B$10000&lt;&gt;"")=VALUE(INDEX(IdClientes,MATCH(ACV2,Clientes,0))))</f>
        <v>#VALUE!</v>
      </c>
      <c r="ACW3" s="28" t="e" cm="1" vm="1">
        <f t="array" ref="ACW3">_xlfn._xlws.FILTER(Rutas,_xlfn._xlws.FILTER($B$2:$B$10000,$B$2:$B$10000&lt;&gt;"")=VALUE(INDEX(IdClientes,MATCH(ACW2,Clientes,0))))</f>
        <v>#VALUE!</v>
      </c>
      <c r="ACX3" s="28" t="e" cm="1" vm="1">
        <f t="array" ref="ACX3">_xlfn._xlws.FILTER(Rutas,_xlfn._xlws.FILTER($B$2:$B$10000,$B$2:$B$10000&lt;&gt;"")=VALUE(INDEX(IdClientes,MATCH(ACX2,Clientes,0))))</f>
        <v>#VALUE!</v>
      </c>
      <c r="ACY3" s="28" t="e" cm="1" vm="1">
        <f t="array" ref="ACY3">_xlfn._xlws.FILTER(Rutas,_xlfn._xlws.FILTER($B$2:$B$10000,$B$2:$B$10000&lt;&gt;"")=VALUE(INDEX(IdClientes,MATCH(ACY2,Clientes,0))))</f>
        <v>#VALUE!</v>
      </c>
      <c r="ACZ3" s="28" t="e" cm="1" vm="1">
        <f t="array" ref="ACZ3">_xlfn._xlws.FILTER(Rutas,_xlfn._xlws.FILTER($B$2:$B$10000,$B$2:$B$10000&lt;&gt;"")=VALUE(INDEX(IdClientes,MATCH(ACZ2,Clientes,0))))</f>
        <v>#VALUE!</v>
      </c>
      <c r="ADA3" s="28" t="e" cm="1" vm="1">
        <f t="array" ref="ADA3">_xlfn._xlws.FILTER(Rutas,_xlfn._xlws.FILTER($B$2:$B$10000,$B$2:$B$10000&lt;&gt;"")=VALUE(INDEX(IdClientes,MATCH(ADA2,Clientes,0))))</f>
        <v>#VALUE!</v>
      </c>
      <c r="ADB3" s="28" t="e" cm="1" vm="1">
        <f t="array" ref="ADB3">_xlfn._xlws.FILTER(Rutas,_xlfn._xlws.FILTER($B$2:$B$10000,$B$2:$B$10000&lt;&gt;"")=VALUE(INDEX(IdClientes,MATCH(ADB2,Clientes,0))))</f>
        <v>#VALUE!</v>
      </c>
      <c r="ADC3" s="28" t="e" cm="1" vm="1">
        <f t="array" ref="ADC3">_xlfn._xlws.FILTER(Rutas,_xlfn._xlws.FILTER($B$2:$B$10000,$B$2:$B$10000&lt;&gt;"")=VALUE(INDEX(IdClientes,MATCH(ADC2,Clientes,0))))</f>
        <v>#VALUE!</v>
      </c>
      <c r="ADD3" s="28" t="e" cm="1" vm="1">
        <f t="array" ref="ADD3">_xlfn._xlws.FILTER(Rutas,_xlfn._xlws.FILTER($B$2:$B$10000,$B$2:$B$10000&lt;&gt;"")=VALUE(INDEX(IdClientes,MATCH(ADD2,Clientes,0))))</f>
        <v>#VALUE!</v>
      </c>
      <c r="ADE3" s="28" t="e" cm="1" vm="1">
        <f t="array" ref="ADE3">_xlfn._xlws.FILTER(Rutas,_xlfn._xlws.FILTER($B$2:$B$10000,$B$2:$B$10000&lt;&gt;"")=VALUE(INDEX(IdClientes,MATCH(ADE2,Clientes,0))))</f>
        <v>#VALUE!</v>
      </c>
      <c r="ADF3" s="28" t="e" cm="1" vm="1">
        <f t="array" ref="ADF3">_xlfn._xlws.FILTER(Rutas,_xlfn._xlws.FILTER($B$2:$B$10000,$B$2:$B$10000&lt;&gt;"")=VALUE(INDEX(IdClientes,MATCH(ADF2,Clientes,0))))</f>
        <v>#VALUE!</v>
      </c>
      <c r="ADG3" s="28" t="e" cm="1" vm="1">
        <f t="array" ref="ADG3">_xlfn._xlws.FILTER(Rutas,_xlfn._xlws.FILTER($B$2:$B$10000,$B$2:$B$10000&lt;&gt;"")=VALUE(INDEX(IdClientes,MATCH(ADG2,Clientes,0))))</f>
        <v>#VALUE!</v>
      </c>
      <c r="ADH3" s="28" t="e" cm="1" vm="1">
        <f t="array" ref="ADH3">_xlfn._xlws.FILTER(Rutas,_xlfn._xlws.FILTER($B$2:$B$10000,$B$2:$B$10000&lt;&gt;"")=VALUE(INDEX(IdClientes,MATCH(ADH2,Clientes,0))))</f>
        <v>#VALUE!</v>
      </c>
      <c r="ADI3" s="28" t="e" cm="1" vm="1">
        <f t="array" ref="ADI3">_xlfn._xlws.FILTER(Rutas,_xlfn._xlws.FILTER($B$2:$B$10000,$B$2:$B$10000&lt;&gt;"")=VALUE(INDEX(IdClientes,MATCH(ADI2,Clientes,0))))</f>
        <v>#VALUE!</v>
      </c>
      <c r="ADJ3" s="28" t="e" cm="1" vm="1">
        <f t="array" ref="ADJ3">_xlfn._xlws.FILTER(Rutas,_xlfn._xlws.FILTER($B$2:$B$10000,$B$2:$B$10000&lt;&gt;"")=VALUE(INDEX(IdClientes,MATCH(ADJ2,Clientes,0))))</f>
        <v>#VALUE!</v>
      </c>
      <c r="ADK3" s="28" t="e" cm="1" vm="1">
        <f t="array" ref="ADK3">_xlfn._xlws.FILTER(Rutas,_xlfn._xlws.FILTER($B$2:$B$10000,$B$2:$B$10000&lt;&gt;"")=VALUE(INDEX(IdClientes,MATCH(ADK2,Clientes,0))))</f>
        <v>#VALUE!</v>
      </c>
      <c r="ADL3" s="28" t="e" cm="1" vm="1">
        <f t="array" ref="ADL3">_xlfn._xlws.FILTER(Rutas,_xlfn._xlws.FILTER($B$2:$B$10000,$B$2:$B$10000&lt;&gt;"")=VALUE(INDEX(IdClientes,MATCH(ADL2,Clientes,0))))</f>
        <v>#VALUE!</v>
      </c>
      <c r="ADM3" s="28" t="e" cm="1" vm="1">
        <f t="array" ref="ADM3">_xlfn._xlws.FILTER(Rutas,_xlfn._xlws.FILTER($B$2:$B$10000,$B$2:$B$10000&lt;&gt;"")=VALUE(INDEX(IdClientes,MATCH(ADM2,Clientes,0))))</f>
        <v>#VALUE!</v>
      </c>
      <c r="ADN3" s="28" t="e" cm="1" vm="1">
        <f t="array" ref="ADN3">_xlfn._xlws.FILTER(Rutas,_xlfn._xlws.FILTER($B$2:$B$10000,$B$2:$B$10000&lt;&gt;"")=VALUE(INDEX(IdClientes,MATCH(ADN2,Clientes,0))))</f>
        <v>#VALUE!</v>
      </c>
      <c r="ADO3" s="28" t="e" cm="1" vm="1">
        <f t="array" ref="ADO3">_xlfn._xlws.FILTER(Rutas,_xlfn._xlws.FILTER($B$2:$B$10000,$B$2:$B$10000&lt;&gt;"")=VALUE(INDEX(IdClientes,MATCH(ADO2,Clientes,0))))</f>
        <v>#VALUE!</v>
      </c>
      <c r="ADP3" s="28" t="e" cm="1" vm="1">
        <f t="array" ref="ADP3">_xlfn._xlws.FILTER(Rutas,_xlfn._xlws.FILTER($B$2:$B$10000,$B$2:$B$10000&lt;&gt;"")=VALUE(INDEX(IdClientes,MATCH(ADP2,Clientes,0))))</f>
        <v>#VALUE!</v>
      </c>
      <c r="ADQ3" s="28" t="e" cm="1" vm="1">
        <f t="array" ref="ADQ3">_xlfn._xlws.FILTER(Rutas,_xlfn._xlws.FILTER($B$2:$B$10000,$B$2:$B$10000&lt;&gt;"")=VALUE(INDEX(IdClientes,MATCH(ADQ2,Clientes,0))))</f>
        <v>#VALUE!</v>
      </c>
      <c r="ADR3" s="28" t="e" cm="1" vm="1">
        <f t="array" ref="ADR3">_xlfn._xlws.FILTER(Rutas,_xlfn._xlws.FILTER($B$2:$B$10000,$B$2:$B$10000&lt;&gt;"")=VALUE(INDEX(IdClientes,MATCH(ADR2,Clientes,0))))</f>
        <v>#VALUE!</v>
      </c>
      <c r="ADS3" s="28" t="e" cm="1" vm="1">
        <f t="array" ref="ADS3">_xlfn._xlws.FILTER(Rutas,_xlfn._xlws.FILTER($B$2:$B$10000,$B$2:$B$10000&lt;&gt;"")=VALUE(INDEX(IdClientes,MATCH(ADS2,Clientes,0))))</f>
        <v>#VALUE!</v>
      </c>
      <c r="ADT3" s="28" t="e" cm="1" vm="1">
        <f t="array" ref="ADT3">_xlfn._xlws.FILTER(Rutas,_xlfn._xlws.FILTER($B$2:$B$10000,$B$2:$B$10000&lt;&gt;"")=VALUE(INDEX(IdClientes,MATCH(ADT2,Clientes,0))))</f>
        <v>#VALUE!</v>
      </c>
      <c r="ADU3" s="28" t="e" cm="1" vm="1">
        <f t="array" ref="ADU3">_xlfn._xlws.FILTER(Rutas,_xlfn._xlws.FILTER($B$2:$B$10000,$B$2:$B$10000&lt;&gt;"")=VALUE(INDEX(IdClientes,MATCH(ADU2,Clientes,0))))</f>
        <v>#VALUE!</v>
      </c>
      <c r="ADV3" s="28" t="e" cm="1" vm="1">
        <f t="array" ref="ADV3">_xlfn._xlws.FILTER(Rutas,_xlfn._xlws.FILTER($B$2:$B$10000,$B$2:$B$10000&lt;&gt;"")=VALUE(INDEX(IdClientes,MATCH(ADV2,Clientes,0))))</f>
        <v>#VALUE!</v>
      </c>
      <c r="ADW3" s="28" t="e" cm="1" vm="1">
        <f t="array" ref="ADW3">_xlfn._xlws.FILTER(Rutas,_xlfn._xlws.FILTER($B$2:$B$10000,$B$2:$B$10000&lt;&gt;"")=VALUE(INDEX(IdClientes,MATCH(ADW2,Clientes,0))))</f>
        <v>#VALUE!</v>
      </c>
      <c r="ADX3" s="28" t="e" cm="1" vm="1">
        <f t="array" ref="ADX3">_xlfn._xlws.FILTER(Rutas,_xlfn._xlws.FILTER($B$2:$B$10000,$B$2:$B$10000&lt;&gt;"")=VALUE(INDEX(IdClientes,MATCH(ADX2,Clientes,0))))</f>
        <v>#VALUE!</v>
      </c>
      <c r="ADY3" s="28" t="e" cm="1" vm="1">
        <f t="array" ref="ADY3">_xlfn._xlws.FILTER(Rutas,_xlfn._xlws.FILTER($B$2:$B$10000,$B$2:$B$10000&lt;&gt;"")=VALUE(INDEX(IdClientes,MATCH(ADY2,Clientes,0))))</f>
        <v>#VALUE!</v>
      </c>
      <c r="ADZ3" s="28" t="e" cm="1" vm="1">
        <f t="array" ref="ADZ3">_xlfn._xlws.FILTER(Rutas,_xlfn._xlws.FILTER($B$2:$B$10000,$B$2:$B$10000&lt;&gt;"")=VALUE(INDEX(IdClientes,MATCH(ADZ2,Clientes,0))))</f>
        <v>#VALUE!</v>
      </c>
      <c r="AEA3" s="28" t="e" cm="1" vm="1">
        <f t="array" ref="AEA3">_xlfn._xlws.FILTER(Rutas,_xlfn._xlws.FILTER($B$2:$B$10000,$B$2:$B$10000&lt;&gt;"")=VALUE(INDEX(IdClientes,MATCH(AEA2,Clientes,0))))</f>
        <v>#VALUE!</v>
      </c>
      <c r="AEB3" s="28" t="e" cm="1" vm="1">
        <f t="array" ref="AEB3">_xlfn._xlws.FILTER(Rutas,_xlfn._xlws.FILTER($B$2:$B$10000,$B$2:$B$10000&lt;&gt;"")=VALUE(INDEX(IdClientes,MATCH(AEB2,Clientes,0))))</f>
        <v>#VALUE!</v>
      </c>
      <c r="AEC3" s="28" t="e" cm="1" vm="1">
        <f t="array" ref="AEC3">_xlfn._xlws.FILTER(Rutas,_xlfn._xlws.FILTER($B$2:$B$10000,$B$2:$B$10000&lt;&gt;"")=VALUE(INDEX(IdClientes,MATCH(AEC2,Clientes,0))))</f>
        <v>#VALUE!</v>
      </c>
      <c r="AED3" s="28" t="e" cm="1" vm="1">
        <f t="array" ref="AED3">_xlfn._xlws.FILTER(Rutas,_xlfn._xlws.FILTER($B$2:$B$10000,$B$2:$B$10000&lt;&gt;"")=VALUE(INDEX(IdClientes,MATCH(AED2,Clientes,0))))</f>
        <v>#VALUE!</v>
      </c>
      <c r="AEE3" s="28" t="e" cm="1" vm="1">
        <f t="array" ref="AEE3">_xlfn._xlws.FILTER(Rutas,_xlfn._xlws.FILTER($B$2:$B$10000,$B$2:$B$10000&lt;&gt;"")=VALUE(INDEX(IdClientes,MATCH(AEE2,Clientes,0))))</f>
        <v>#VALUE!</v>
      </c>
      <c r="AEF3" s="28" t="e" cm="1" vm="1">
        <f t="array" ref="AEF3">_xlfn._xlws.FILTER(Rutas,_xlfn._xlws.FILTER($B$2:$B$10000,$B$2:$B$10000&lt;&gt;"")=VALUE(INDEX(IdClientes,MATCH(AEF2,Clientes,0))))</f>
        <v>#VALUE!</v>
      </c>
      <c r="AEG3" s="28" t="e" cm="1" vm="1">
        <f t="array" ref="AEG3">_xlfn._xlws.FILTER(Rutas,_xlfn._xlws.FILTER($B$2:$B$10000,$B$2:$B$10000&lt;&gt;"")=VALUE(INDEX(IdClientes,MATCH(AEG2,Clientes,0))))</f>
        <v>#VALUE!</v>
      </c>
      <c r="AEH3" s="28" t="e" cm="1" vm="1">
        <f t="array" ref="AEH3">_xlfn._xlws.FILTER(Rutas,_xlfn._xlws.FILTER($B$2:$B$10000,$B$2:$B$10000&lt;&gt;"")=VALUE(INDEX(IdClientes,MATCH(AEH2,Clientes,0))))</f>
        <v>#VALUE!</v>
      </c>
      <c r="AEI3" s="28" t="e" cm="1" vm="1">
        <f t="array" ref="AEI3">_xlfn._xlws.FILTER(Rutas,_xlfn._xlws.FILTER($B$2:$B$10000,$B$2:$B$10000&lt;&gt;"")=VALUE(INDEX(IdClientes,MATCH(AEI2,Clientes,0))))</f>
        <v>#VALUE!</v>
      </c>
      <c r="AEJ3" s="28" t="e" cm="1" vm="1">
        <f t="array" ref="AEJ3">_xlfn._xlws.FILTER(Rutas,_xlfn._xlws.FILTER($B$2:$B$10000,$B$2:$B$10000&lt;&gt;"")=VALUE(INDEX(IdClientes,MATCH(AEJ2,Clientes,0))))</f>
        <v>#VALUE!</v>
      </c>
      <c r="AEK3" s="28" t="e" cm="1" vm="1">
        <f t="array" ref="AEK3">_xlfn._xlws.FILTER(Rutas,_xlfn._xlws.FILTER($B$2:$B$10000,$B$2:$B$10000&lt;&gt;"")=VALUE(INDEX(IdClientes,MATCH(AEK2,Clientes,0))))</f>
        <v>#VALUE!</v>
      </c>
      <c r="AEL3" s="28" t="e" cm="1" vm="1">
        <f t="array" ref="AEL3">_xlfn._xlws.FILTER(Rutas,_xlfn._xlws.FILTER($B$2:$B$10000,$B$2:$B$10000&lt;&gt;"")=VALUE(INDEX(IdClientes,MATCH(AEL2,Clientes,0))))</f>
        <v>#VALUE!</v>
      </c>
      <c r="AEM3" s="28" t="e" cm="1" vm="1">
        <f t="array" ref="AEM3">_xlfn._xlws.FILTER(Rutas,_xlfn._xlws.FILTER($B$2:$B$10000,$B$2:$B$10000&lt;&gt;"")=VALUE(INDEX(IdClientes,MATCH(AEM2,Clientes,0))))</f>
        <v>#VALUE!</v>
      </c>
      <c r="AEN3" s="28" t="e" cm="1" vm="1">
        <f t="array" ref="AEN3">_xlfn._xlws.FILTER(Rutas,_xlfn._xlws.FILTER($B$2:$B$10000,$B$2:$B$10000&lt;&gt;"")=VALUE(INDEX(IdClientes,MATCH(AEN2,Clientes,0))))</f>
        <v>#VALUE!</v>
      </c>
      <c r="AEO3" s="28" t="e" cm="1" vm="1">
        <f t="array" ref="AEO3">_xlfn._xlws.FILTER(Rutas,_xlfn._xlws.FILTER($B$2:$B$10000,$B$2:$B$10000&lt;&gt;"")=VALUE(INDEX(IdClientes,MATCH(AEO2,Clientes,0))))</f>
        <v>#VALUE!</v>
      </c>
      <c r="AEP3" s="28" t="e" cm="1" vm="1">
        <f t="array" ref="AEP3">_xlfn._xlws.FILTER(Rutas,_xlfn._xlws.FILTER($B$2:$B$10000,$B$2:$B$10000&lt;&gt;"")=VALUE(INDEX(IdClientes,MATCH(AEP2,Clientes,0))))</f>
        <v>#VALUE!</v>
      </c>
      <c r="AEQ3" s="28" t="e" cm="1" vm="1">
        <f t="array" ref="AEQ3">_xlfn._xlws.FILTER(Rutas,_xlfn._xlws.FILTER($B$2:$B$10000,$B$2:$B$10000&lt;&gt;"")=VALUE(INDEX(IdClientes,MATCH(AEQ2,Clientes,0))))</f>
        <v>#VALUE!</v>
      </c>
      <c r="AER3" s="28" t="e" cm="1" vm="1">
        <f t="array" ref="AER3">_xlfn._xlws.FILTER(Rutas,_xlfn._xlws.FILTER($B$2:$B$10000,$B$2:$B$10000&lt;&gt;"")=VALUE(INDEX(IdClientes,MATCH(AER2,Clientes,0))))</f>
        <v>#VALUE!</v>
      </c>
      <c r="AES3" s="28" t="e" cm="1" vm="1">
        <f t="array" ref="AES3">_xlfn._xlws.FILTER(Rutas,_xlfn._xlws.FILTER($B$2:$B$10000,$B$2:$B$10000&lt;&gt;"")=VALUE(INDEX(IdClientes,MATCH(AES2,Clientes,0))))</f>
        <v>#VALUE!</v>
      </c>
      <c r="AET3" s="28" t="e" cm="1" vm="1">
        <f t="array" ref="AET3">_xlfn._xlws.FILTER(Rutas,_xlfn._xlws.FILTER($B$2:$B$10000,$B$2:$B$10000&lt;&gt;"")=VALUE(INDEX(IdClientes,MATCH(AET2,Clientes,0))))</f>
        <v>#VALUE!</v>
      </c>
      <c r="AEU3" s="28" t="e" cm="1" vm="1">
        <f t="array" ref="AEU3">_xlfn._xlws.FILTER(Rutas,_xlfn._xlws.FILTER($B$2:$B$10000,$B$2:$B$10000&lt;&gt;"")=VALUE(INDEX(IdClientes,MATCH(AEU2,Clientes,0))))</f>
        <v>#VALUE!</v>
      </c>
      <c r="AEV3" s="28" t="e" cm="1" vm="1">
        <f t="array" ref="AEV3">_xlfn._xlws.FILTER(Rutas,_xlfn._xlws.FILTER($B$2:$B$10000,$B$2:$B$10000&lt;&gt;"")=VALUE(INDEX(IdClientes,MATCH(AEV2,Clientes,0))))</f>
        <v>#VALUE!</v>
      </c>
      <c r="AEW3" s="28" t="e" cm="1" vm="1">
        <f t="array" ref="AEW3">_xlfn._xlws.FILTER(Rutas,_xlfn._xlws.FILTER($B$2:$B$10000,$B$2:$B$10000&lt;&gt;"")=VALUE(INDEX(IdClientes,MATCH(AEW2,Clientes,0))))</f>
        <v>#VALUE!</v>
      </c>
      <c r="AEX3" s="28" t="e" cm="1" vm="1">
        <f t="array" ref="AEX3">_xlfn._xlws.FILTER(Rutas,_xlfn._xlws.FILTER($B$2:$B$10000,$B$2:$B$10000&lt;&gt;"")=VALUE(INDEX(IdClientes,MATCH(AEX2,Clientes,0))))</f>
        <v>#VALUE!</v>
      </c>
      <c r="AEY3" s="28" t="e" cm="1" vm="1">
        <f t="array" ref="AEY3">_xlfn._xlws.FILTER(Rutas,_xlfn._xlws.FILTER($B$2:$B$10000,$B$2:$B$10000&lt;&gt;"")=VALUE(INDEX(IdClientes,MATCH(AEY2,Clientes,0))))</f>
        <v>#VALUE!</v>
      </c>
      <c r="AEZ3" s="28" t="e" cm="1" vm="1">
        <f t="array" ref="AEZ3">_xlfn._xlws.FILTER(Rutas,_xlfn._xlws.FILTER($B$2:$B$10000,$B$2:$B$10000&lt;&gt;"")=VALUE(INDEX(IdClientes,MATCH(AEZ2,Clientes,0))))</f>
        <v>#VALUE!</v>
      </c>
      <c r="AFA3" s="28" t="e" cm="1" vm="1">
        <f t="array" ref="AFA3">_xlfn._xlws.FILTER(Rutas,_xlfn._xlws.FILTER($B$2:$B$10000,$B$2:$B$10000&lt;&gt;"")=VALUE(INDEX(IdClientes,MATCH(AFA2,Clientes,0))))</f>
        <v>#VALUE!</v>
      </c>
      <c r="AFB3" s="28" t="e" cm="1" vm="1">
        <f t="array" ref="AFB3">_xlfn._xlws.FILTER(Rutas,_xlfn._xlws.FILTER($B$2:$B$10000,$B$2:$B$10000&lt;&gt;"")=VALUE(INDEX(IdClientes,MATCH(AFB2,Clientes,0))))</f>
        <v>#VALUE!</v>
      </c>
      <c r="AFC3" s="28" t="e" cm="1" vm="1">
        <f t="array" ref="AFC3">_xlfn._xlws.FILTER(Rutas,_xlfn._xlws.FILTER($B$2:$B$10000,$B$2:$B$10000&lt;&gt;"")=VALUE(INDEX(IdClientes,MATCH(AFC2,Clientes,0))))</f>
        <v>#VALUE!</v>
      </c>
      <c r="AFD3" s="28" t="e" cm="1" vm="1">
        <f t="array" ref="AFD3">_xlfn._xlws.FILTER(Rutas,_xlfn._xlws.FILTER($B$2:$B$10000,$B$2:$B$10000&lt;&gt;"")=VALUE(INDEX(IdClientes,MATCH(AFD2,Clientes,0))))</f>
        <v>#VALUE!</v>
      </c>
      <c r="AFE3" s="28" t="e" cm="1" vm="1">
        <f t="array" ref="AFE3">_xlfn._xlws.FILTER(Rutas,_xlfn._xlws.FILTER($B$2:$B$10000,$B$2:$B$10000&lt;&gt;"")=VALUE(INDEX(IdClientes,MATCH(AFE2,Clientes,0))))</f>
        <v>#VALUE!</v>
      </c>
      <c r="AFF3" s="28" t="e" cm="1" vm="1">
        <f t="array" ref="AFF3">_xlfn._xlws.FILTER(Rutas,_xlfn._xlws.FILTER($B$2:$B$10000,$B$2:$B$10000&lt;&gt;"")=VALUE(INDEX(IdClientes,MATCH(AFF2,Clientes,0))))</f>
        <v>#VALUE!</v>
      </c>
      <c r="AFG3" s="28" t="e" cm="1" vm="1">
        <f t="array" ref="AFG3">_xlfn._xlws.FILTER(Rutas,_xlfn._xlws.FILTER($B$2:$B$10000,$B$2:$B$10000&lt;&gt;"")=VALUE(INDEX(IdClientes,MATCH(AFG2,Clientes,0))))</f>
        <v>#VALUE!</v>
      </c>
      <c r="AFH3" s="28" t="e" cm="1" vm="1">
        <f t="array" ref="AFH3">_xlfn._xlws.FILTER(Rutas,_xlfn._xlws.FILTER($B$2:$B$10000,$B$2:$B$10000&lt;&gt;"")=VALUE(INDEX(IdClientes,MATCH(AFH2,Clientes,0))))</f>
        <v>#VALUE!</v>
      </c>
      <c r="AFI3" s="28" t="e" cm="1" vm="1">
        <f t="array" ref="AFI3">_xlfn._xlws.FILTER(Rutas,_xlfn._xlws.FILTER($B$2:$B$10000,$B$2:$B$10000&lt;&gt;"")=VALUE(INDEX(IdClientes,MATCH(AFI2,Clientes,0))))</f>
        <v>#VALUE!</v>
      </c>
      <c r="AFJ3" s="28" t="e" cm="1" vm="1">
        <f t="array" ref="AFJ3">_xlfn._xlws.FILTER(Rutas,_xlfn._xlws.FILTER($B$2:$B$10000,$B$2:$B$10000&lt;&gt;"")=VALUE(INDEX(IdClientes,MATCH(AFJ2,Clientes,0))))</f>
        <v>#VALUE!</v>
      </c>
      <c r="AFK3" s="28" t="e" cm="1" vm="1">
        <f t="array" ref="AFK3">_xlfn._xlws.FILTER(Rutas,_xlfn._xlws.FILTER($B$2:$B$10000,$B$2:$B$10000&lt;&gt;"")=VALUE(INDEX(IdClientes,MATCH(AFK2,Clientes,0))))</f>
        <v>#VALUE!</v>
      </c>
      <c r="AFL3" s="28" t="e" cm="1" vm="1">
        <f t="array" ref="AFL3">_xlfn._xlws.FILTER(Rutas,_xlfn._xlws.FILTER($B$2:$B$10000,$B$2:$B$10000&lt;&gt;"")=VALUE(INDEX(IdClientes,MATCH(AFL2,Clientes,0))))</f>
        <v>#VALUE!</v>
      </c>
      <c r="AFM3" s="28" t="e" cm="1" vm="1">
        <f t="array" ref="AFM3">_xlfn._xlws.FILTER(Rutas,_xlfn._xlws.FILTER($B$2:$B$10000,$B$2:$B$10000&lt;&gt;"")=VALUE(INDEX(IdClientes,MATCH(AFM2,Clientes,0))))</f>
        <v>#VALUE!</v>
      </c>
      <c r="AFN3" s="28" t="e" cm="1" vm="1">
        <f t="array" ref="AFN3">_xlfn._xlws.FILTER(Rutas,_xlfn._xlws.FILTER($B$2:$B$10000,$B$2:$B$10000&lt;&gt;"")=VALUE(INDEX(IdClientes,MATCH(AFN2,Clientes,0))))</f>
        <v>#VALUE!</v>
      </c>
      <c r="AFO3" s="28" t="e" cm="1" vm="1">
        <f t="array" ref="AFO3">_xlfn._xlws.FILTER(Rutas,_xlfn._xlws.FILTER($B$2:$B$10000,$B$2:$B$10000&lt;&gt;"")=VALUE(INDEX(IdClientes,MATCH(AFO2,Clientes,0))))</f>
        <v>#VALUE!</v>
      </c>
      <c r="AFP3" s="28" t="e" cm="1" vm="1">
        <f t="array" ref="AFP3">_xlfn._xlws.FILTER(Rutas,_xlfn._xlws.FILTER($B$2:$B$10000,$B$2:$B$10000&lt;&gt;"")=VALUE(INDEX(IdClientes,MATCH(AFP2,Clientes,0))))</f>
        <v>#VALUE!</v>
      </c>
      <c r="AFQ3" s="28" t="e" cm="1" vm="1">
        <f t="array" ref="AFQ3">_xlfn._xlws.FILTER(Rutas,_xlfn._xlws.FILTER($B$2:$B$10000,$B$2:$B$10000&lt;&gt;"")=VALUE(INDEX(IdClientes,MATCH(AFQ2,Clientes,0))))</f>
        <v>#VALUE!</v>
      </c>
      <c r="AFR3" s="28" t="e" cm="1" vm="1">
        <f t="array" ref="AFR3">_xlfn._xlws.FILTER(Rutas,_xlfn._xlws.FILTER($B$2:$B$10000,$B$2:$B$10000&lt;&gt;"")=VALUE(INDEX(IdClientes,MATCH(AFR2,Clientes,0))))</f>
        <v>#VALUE!</v>
      </c>
      <c r="AFS3" s="28" t="e" cm="1" vm="1">
        <f t="array" ref="AFS3">_xlfn._xlws.FILTER(Rutas,_xlfn._xlws.FILTER($B$2:$B$10000,$B$2:$B$10000&lt;&gt;"")=VALUE(INDEX(IdClientes,MATCH(AFS2,Clientes,0))))</f>
        <v>#VALUE!</v>
      </c>
      <c r="AFT3" s="28" t="e" cm="1" vm="1">
        <f t="array" ref="AFT3">_xlfn._xlws.FILTER(Rutas,_xlfn._xlws.FILTER($B$2:$B$10000,$B$2:$B$10000&lt;&gt;"")=VALUE(INDEX(IdClientes,MATCH(AFT2,Clientes,0))))</f>
        <v>#VALUE!</v>
      </c>
      <c r="AFU3" s="28" t="e" cm="1" vm="1">
        <f t="array" ref="AFU3">_xlfn._xlws.FILTER(Rutas,_xlfn._xlws.FILTER($B$2:$B$10000,$B$2:$B$10000&lt;&gt;"")=VALUE(INDEX(IdClientes,MATCH(AFU2,Clientes,0))))</f>
        <v>#VALUE!</v>
      </c>
      <c r="AFV3" s="28" t="e" cm="1" vm="1">
        <f t="array" ref="AFV3">_xlfn._xlws.FILTER(Rutas,_xlfn._xlws.FILTER($B$2:$B$10000,$B$2:$B$10000&lt;&gt;"")=VALUE(INDEX(IdClientes,MATCH(AFV2,Clientes,0))))</f>
        <v>#VALUE!</v>
      </c>
      <c r="AFW3" s="28" t="e" cm="1" vm="1">
        <f t="array" ref="AFW3">_xlfn._xlws.FILTER(Rutas,_xlfn._xlws.FILTER($B$2:$B$10000,$B$2:$B$10000&lt;&gt;"")=VALUE(INDEX(IdClientes,MATCH(AFW2,Clientes,0))))</f>
        <v>#VALUE!</v>
      </c>
      <c r="AFX3" s="28" t="e" cm="1" vm="1">
        <f t="array" ref="AFX3">_xlfn._xlws.FILTER(Rutas,_xlfn._xlws.FILTER($B$2:$B$10000,$B$2:$B$10000&lt;&gt;"")=VALUE(INDEX(IdClientes,MATCH(AFX2,Clientes,0))))</f>
        <v>#VALUE!</v>
      </c>
      <c r="AFY3" s="28" t="e" cm="1" vm="1">
        <f t="array" ref="AFY3">_xlfn._xlws.FILTER(Rutas,_xlfn._xlws.FILTER($B$2:$B$10000,$B$2:$B$10000&lt;&gt;"")=VALUE(INDEX(IdClientes,MATCH(AFY2,Clientes,0))))</f>
        <v>#VALUE!</v>
      </c>
      <c r="AFZ3" s="28" t="e" cm="1" vm="1">
        <f t="array" ref="AFZ3">_xlfn._xlws.FILTER(Rutas,_xlfn._xlws.FILTER($B$2:$B$10000,$B$2:$B$10000&lt;&gt;"")=VALUE(INDEX(IdClientes,MATCH(AFZ2,Clientes,0))))</f>
        <v>#VALUE!</v>
      </c>
      <c r="AGA3" s="28" t="e" cm="1" vm="1">
        <f t="array" ref="AGA3">_xlfn._xlws.FILTER(Rutas,_xlfn._xlws.FILTER($B$2:$B$10000,$B$2:$B$10000&lt;&gt;"")=VALUE(INDEX(IdClientes,MATCH(AGA2,Clientes,0))))</f>
        <v>#VALUE!</v>
      </c>
      <c r="AGB3" s="28" t="e" cm="1" vm="1">
        <f t="array" ref="AGB3">_xlfn._xlws.FILTER(Rutas,_xlfn._xlws.FILTER($B$2:$B$10000,$B$2:$B$10000&lt;&gt;"")=VALUE(INDEX(IdClientes,MATCH(AGB2,Clientes,0))))</f>
        <v>#VALUE!</v>
      </c>
      <c r="AGC3" s="28" t="e" cm="1" vm="1">
        <f t="array" ref="AGC3">_xlfn._xlws.FILTER(Rutas,_xlfn._xlws.FILTER($B$2:$B$10000,$B$2:$B$10000&lt;&gt;"")=VALUE(INDEX(IdClientes,MATCH(AGC2,Clientes,0))))</f>
        <v>#VALUE!</v>
      </c>
      <c r="AGD3" s="28" t="e" cm="1" vm="1">
        <f t="array" ref="AGD3">_xlfn._xlws.FILTER(Rutas,_xlfn._xlws.FILTER($B$2:$B$10000,$B$2:$B$10000&lt;&gt;"")=VALUE(INDEX(IdClientes,MATCH(AGD2,Clientes,0))))</f>
        <v>#VALUE!</v>
      </c>
      <c r="AGE3" s="28" t="e" cm="1" vm="1">
        <f t="array" ref="AGE3">_xlfn._xlws.FILTER(Rutas,_xlfn._xlws.FILTER($B$2:$B$10000,$B$2:$B$10000&lt;&gt;"")=VALUE(INDEX(IdClientes,MATCH(AGE2,Clientes,0))))</f>
        <v>#VALUE!</v>
      </c>
      <c r="AGF3" s="28" t="e" cm="1" vm="1">
        <f t="array" ref="AGF3">_xlfn._xlws.FILTER(Rutas,_xlfn._xlws.FILTER($B$2:$B$10000,$B$2:$B$10000&lt;&gt;"")=VALUE(INDEX(IdClientes,MATCH(AGF2,Clientes,0))))</f>
        <v>#VALUE!</v>
      </c>
      <c r="AGG3" s="28" t="e" cm="1" vm="1">
        <f t="array" ref="AGG3">_xlfn._xlws.FILTER(Rutas,_xlfn._xlws.FILTER($B$2:$B$10000,$B$2:$B$10000&lt;&gt;"")=VALUE(INDEX(IdClientes,MATCH(AGG2,Clientes,0))))</f>
        <v>#VALUE!</v>
      </c>
      <c r="AGH3" s="28" t="e" cm="1" vm="1">
        <f t="array" ref="AGH3">_xlfn._xlws.FILTER(Rutas,_xlfn._xlws.FILTER($B$2:$B$10000,$B$2:$B$10000&lt;&gt;"")=VALUE(INDEX(IdClientes,MATCH(AGH2,Clientes,0))))</f>
        <v>#VALUE!</v>
      </c>
      <c r="AGI3" s="28" t="e" cm="1" vm="1">
        <f t="array" ref="AGI3">_xlfn._xlws.FILTER(Rutas,_xlfn._xlws.FILTER($B$2:$B$10000,$B$2:$B$10000&lt;&gt;"")=VALUE(INDEX(IdClientes,MATCH(AGI2,Clientes,0))))</f>
        <v>#VALUE!</v>
      </c>
      <c r="AGJ3" s="28" t="e" cm="1" vm="1">
        <f t="array" ref="AGJ3">_xlfn._xlws.FILTER(Rutas,_xlfn._xlws.FILTER($B$2:$B$10000,$B$2:$B$10000&lt;&gt;"")=VALUE(INDEX(IdClientes,MATCH(AGJ2,Clientes,0))))</f>
        <v>#VALUE!</v>
      </c>
      <c r="AGK3" s="28" t="e" cm="1" vm="1">
        <f t="array" ref="AGK3">_xlfn._xlws.FILTER(Rutas,_xlfn._xlws.FILTER($B$2:$B$10000,$B$2:$B$10000&lt;&gt;"")=VALUE(INDEX(IdClientes,MATCH(AGK2,Clientes,0))))</f>
        <v>#VALUE!</v>
      </c>
      <c r="AGL3" s="28" t="e" cm="1" vm="1">
        <f t="array" ref="AGL3">_xlfn._xlws.FILTER(Rutas,_xlfn._xlws.FILTER($B$2:$B$10000,$B$2:$B$10000&lt;&gt;"")=VALUE(INDEX(IdClientes,MATCH(AGL2,Clientes,0))))</f>
        <v>#VALUE!</v>
      </c>
      <c r="AGM3" s="28" t="e" cm="1" vm="1">
        <f t="array" ref="AGM3">_xlfn._xlws.FILTER(Rutas,_xlfn._xlws.FILTER($B$2:$B$10000,$B$2:$B$10000&lt;&gt;"")=VALUE(INDEX(IdClientes,MATCH(AGM2,Clientes,0))))</f>
        <v>#VALUE!</v>
      </c>
      <c r="AGN3" s="28" t="e" cm="1" vm="1">
        <f t="array" ref="AGN3">_xlfn._xlws.FILTER(Rutas,_xlfn._xlws.FILTER($B$2:$B$10000,$B$2:$B$10000&lt;&gt;"")=VALUE(INDEX(IdClientes,MATCH(AGN2,Clientes,0))))</f>
        <v>#VALUE!</v>
      </c>
      <c r="AGO3" s="28" t="e" cm="1" vm="1">
        <f t="array" ref="AGO3">_xlfn._xlws.FILTER(Rutas,_xlfn._xlws.FILTER($B$2:$B$10000,$B$2:$B$10000&lt;&gt;"")=VALUE(INDEX(IdClientes,MATCH(AGO2,Clientes,0))))</f>
        <v>#VALUE!</v>
      </c>
      <c r="AGP3" s="28" t="e" cm="1" vm="1">
        <f t="array" ref="AGP3">_xlfn._xlws.FILTER(Rutas,_xlfn._xlws.FILTER($B$2:$B$10000,$B$2:$B$10000&lt;&gt;"")=VALUE(INDEX(IdClientes,MATCH(AGP2,Clientes,0))))</f>
        <v>#VALUE!</v>
      </c>
      <c r="AGQ3" s="28" t="e" cm="1" vm="1">
        <f t="array" ref="AGQ3">_xlfn._xlws.FILTER(Rutas,_xlfn._xlws.FILTER($B$2:$B$10000,$B$2:$B$10000&lt;&gt;"")=VALUE(INDEX(IdClientes,MATCH(AGQ2,Clientes,0))))</f>
        <v>#VALUE!</v>
      </c>
      <c r="AGR3" s="28" t="e" cm="1" vm="1">
        <f t="array" ref="AGR3">_xlfn._xlws.FILTER(Rutas,_xlfn._xlws.FILTER($B$2:$B$10000,$B$2:$B$10000&lt;&gt;"")=VALUE(INDEX(IdClientes,MATCH(AGR2,Clientes,0))))</f>
        <v>#VALUE!</v>
      </c>
      <c r="AGS3" s="28" t="e" cm="1" vm="1">
        <f t="array" ref="AGS3">_xlfn._xlws.FILTER(Rutas,_xlfn._xlws.FILTER($B$2:$B$10000,$B$2:$B$10000&lt;&gt;"")=VALUE(INDEX(IdClientes,MATCH(AGS2,Clientes,0))))</f>
        <v>#VALUE!</v>
      </c>
      <c r="AGT3" s="28" t="e" cm="1" vm="1">
        <f t="array" ref="AGT3">_xlfn._xlws.FILTER(Rutas,_xlfn._xlws.FILTER($B$2:$B$10000,$B$2:$B$10000&lt;&gt;"")=VALUE(INDEX(IdClientes,MATCH(AGT2,Clientes,0))))</f>
        <v>#VALUE!</v>
      </c>
      <c r="AGU3" s="28" t="e" cm="1" vm="1">
        <f t="array" ref="AGU3">_xlfn._xlws.FILTER(Rutas,_xlfn._xlws.FILTER($B$2:$B$10000,$B$2:$B$10000&lt;&gt;"")=VALUE(INDEX(IdClientes,MATCH(AGU2,Clientes,0))))</f>
        <v>#VALUE!</v>
      </c>
      <c r="AGV3" s="28" t="e" cm="1" vm="1">
        <f t="array" ref="AGV3">_xlfn._xlws.FILTER(Rutas,_xlfn._xlws.FILTER($B$2:$B$10000,$B$2:$B$10000&lt;&gt;"")=VALUE(INDEX(IdClientes,MATCH(AGV2,Clientes,0))))</f>
        <v>#VALUE!</v>
      </c>
      <c r="AGW3" s="28" t="e" cm="1" vm="1">
        <f t="array" ref="AGW3">_xlfn._xlws.FILTER(Rutas,_xlfn._xlws.FILTER($B$2:$B$10000,$B$2:$B$10000&lt;&gt;"")=VALUE(INDEX(IdClientes,MATCH(AGW2,Clientes,0))))</f>
        <v>#VALUE!</v>
      </c>
      <c r="AGX3" s="28" t="e" cm="1" vm="1">
        <f t="array" ref="AGX3">_xlfn._xlws.FILTER(Rutas,_xlfn._xlws.FILTER($B$2:$B$10000,$B$2:$B$10000&lt;&gt;"")=VALUE(INDEX(IdClientes,MATCH(AGX2,Clientes,0))))</f>
        <v>#VALUE!</v>
      </c>
      <c r="AGY3" s="28" t="e" cm="1" vm="1">
        <f t="array" ref="AGY3">_xlfn._xlws.FILTER(Rutas,_xlfn._xlws.FILTER($B$2:$B$10000,$B$2:$B$10000&lt;&gt;"")=VALUE(INDEX(IdClientes,MATCH(AGY2,Clientes,0))))</f>
        <v>#VALUE!</v>
      </c>
      <c r="AGZ3" s="28" t="e" cm="1" vm="1">
        <f t="array" ref="AGZ3">_xlfn._xlws.FILTER(Rutas,_xlfn._xlws.FILTER($B$2:$B$10000,$B$2:$B$10000&lt;&gt;"")=VALUE(INDEX(IdClientes,MATCH(AGZ2,Clientes,0))))</f>
        <v>#VALUE!</v>
      </c>
      <c r="AHA3" s="28" t="e" cm="1" vm="1">
        <f t="array" ref="AHA3">_xlfn._xlws.FILTER(Rutas,_xlfn._xlws.FILTER($B$2:$B$10000,$B$2:$B$10000&lt;&gt;"")=VALUE(INDEX(IdClientes,MATCH(AHA2,Clientes,0))))</f>
        <v>#VALUE!</v>
      </c>
      <c r="AHB3" s="28" t="e" cm="1" vm="1">
        <f t="array" ref="AHB3">_xlfn._xlws.FILTER(Rutas,_xlfn._xlws.FILTER($B$2:$B$10000,$B$2:$B$10000&lt;&gt;"")=VALUE(INDEX(IdClientes,MATCH(AHB2,Clientes,0))))</f>
        <v>#VALUE!</v>
      </c>
      <c r="AHC3" s="28" t="e" cm="1" vm="1">
        <f t="array" ref="AHC3">_xlfn._xlws.FILTER(Rutas,_xlfn._xlws.FILTER($B$2:$B$10000,$B$2:$B$10000&lt;&gt;"")=VALUE(INDEX(IdClientes,MATCH(AHC2,Clientes,0))))</f>
        <v>#VALUE!</v>
      </c>
      <c r="AHD3" s="28" t="e" cm="1" vm="1">
        <f t="array" ref="AHD3">_xlfn._xlws.FILTER(Rutas,_xlfn._xlws.FILTER($B$2:$B$10000,$B$2:$B$10000&lt;&gt;"")=VALUE(INDEX(IdClientes,MATCH(AHD2,Clientes,0))))</f>
        <v>#VALUE!</v>
      </c>
      <c r="AHE3" s="28" t="e" cm="1" vm="1">
        <f t="array" ref="AHE3">_xlfn._xlws.FILTER(Rutas,_xlfn._xlws.FILTER($B$2:$B$10000,$B$2:$B$10000&lt;&gt;"")=VALUE(INDEX(IdClientes,MATCH(AHE2,Clientes,0))))</f>
        <v>#VALUE!</v>
      </c>
      <c r="AHF3" s="28" t="e" cm="1" vm="1">
        <f t="array" ref="AHF3">_xlfn._xlws.FILTER(Rutas,_xlfn._xlws.FILTER($B$2:$B$10000,$B$2:$B$10000&lt;&gt;"")=VALUE(INDEX(IdClientes,MATCH(AHF2,Clientes,0))))</f>
        <v>#VALUE!</v>
      </c>
      <c r="AHG3" s="28" t="e" cm="1" vm="1">
        <f t="array" ref="AHG3">_xlfn._xlws.FILTER(Rutas,_xlfn._xlws.FILTER($B$2:$B$10000,$B$2:$B$10000&lt;&gt;"")=VALUE(INDEX(IdClientes,MATCH(AHG2,Clientes,0))))</f>
        <v>#VALUE!</v>
      </c>
      <c r="AHH3" s="28" t="e" cm="1" vm="1">
        <f t="array" ref="AHH3">_xlfn._xlws.FILTER(Rutas,_xlfn._xlws.FILTER($B$2:$B$10000,$B$2:$B$10000&lt;&gt;"")=VALUE(INDEX(IdClientes,MATCH(AHH2,Clientes,0))))</f>
        <v>#VALUE!</v>
      </c>
      <c r="AHI3" s="28" t="e" cm="1" vm="1">
        <f t="array" ref="AHI3">_xlfn._xlws.FILTER(Rutas,_xlfn._xlws.FILTER($B$2:$B$10000,$B$2:$B$10000&lt;&gt;"")=VALUE(INDEX(IdClientes,MATCH(AHI2,Clientes,0))))</f>
        <v>#VALUE!</v>
      </c>
      <c r="AHJ3" s="28" t="e" cm="1" vm="1">
        <f t="array" ref="AHJ3">_xlfn._xlws.FILTER(Rutas,_xlfn._xlws.FILTER($B$2:$B$10000,$B$2:$B$10000&lt;&gt;"")=VALUE(INDEX(IdClientes,MATCH(AHJ2,Clientes,0))))</f>
        <v>#VALUE!</v>
      </c>
      <c r="AHK3" s="28" t="e" cm="1" vm="1">
        <f t="array" ref="AHK3">_xlfn._xlws.FILTER(Rutas,_xlfn._xlws.FILTER($B$2:$B$10000,$B$2:$B$10000&lt;&gt;"")=VALUE(INDEX(IdClientes,MATCH(AHK2,Clientes,0))))</f>
        <v>#VALUE!</v>
      </c>
      <c r="AHL3" s="28" t="e" cm="1" vm="1">
        <f t="array" ref="AHL3">_xlfn._xlws.FILTER(Rutas,_xlfn._xlws.FILTER($B$2:$B$10000,$B$2:$B$10000&lt;&gt;"")=VALUE(INDEX(IdClientes,MATCH(AHL2,Clientes,0))))</f>
        <v>#VALUE!</v>
      </c>
      <c r="AHM3" s="28" t="e" cm="1" vm="1">
        <f t="array" ref="AHM3">_xlfn._xlws.FILTER(Rutas,_xlfn._xlws.FILTER($B$2:$B$10000,$B$2:$B$10000&lt;&gt;"")=VALUE(INDEX(IdClientes,MATCH(AHM2,Clientes,0))))</f>
        <v>#VALUE!</v>
      </c>
      <c r="AHN3" s="28" t="e" cm="1" vm="1">
        <f t="array" ref="AHN3">_xlfn._xlws.FILTER(Rutas,_xlfn._xlws.FILTER($B$2:$B$10000,$B$2:$B$10000&lt;&gt;"")=VALUE(INDEX(IdClientes,MATCH(AHN2,Clientes,0))))</f>
        <v>#VALUE!</v>
      </c>
      <c r="AHO3" s="28" t="e" cm="1" vm="1">
        <f t="array" ref="AHO3">_xlfn._xlws.FILTER(Rutas,_xlfn._xlws.FILTER($B$2:$B$10000,$B$2:$B$10000&lt;&gt;"")=VALUE(INDEX(IdClientes,MATCH(AHO2,Clientes,0))))</f>
        <v>#VALUE!</v>
      </c>
      <c r="AHP3" s="28" t="e" cm="1" vm="1">
        <f t="array" ref="AHP3">_xlfn._xlws.FILTER(Rutas,_xlfn._xlws.FILTER($B$2:$B$10000,$B$2:$B$10000&lt;&gt;"")=VALUE(INDEX(IdClientes,MATCH(AHP2,Clientes,0))))</f>
        <v>#VALUE!</v>
      </c>
      <c r="AHQ3" s="28" t="e" cm="1" vm="1">
        <f t="array" ref="AHQ3">_xlfn._xlws.FILTER(Rutas,_xlfn._xlws.FILTER($B$2:$B$10000,$B$2:$B$10000&lt;&gt;"")=VALUE(INDEX(IdClientes,MATCH(AHQ2,Clientes,0))))</f>
        <v>#VALUE!</v>
      </c>
      <c r="AHR3" s="28" t="e" cm="1" vm="1">
        <f t="array" ref="AHR3">_xlfn._xlws.FILTER(Rutas,_xlfn._xlws.FILTER($B$2:$B$10000,$B$2:$B$10000&lt;&gt;"")=VALUE(INDEX(IdClientes,MATCH(AHR2,Clientes,0))))</f>
        <v>#VALUE!</v>
      </c>
      <c r="AHS3" s="28" t="e" cm="1" vm="1">
        <f t="array" ref="AHS3">_xlfn._xlws.FILTER(Rutas,_xlfn._xlws.FILTER($B$2:$B$10000,$B$2:$B$10000&lt;&gt;"")=VALUE(INDEX(IdClientes,MATCH(AHS2,Clientes,0))))</f>
        <v>#VALUE!</v>
      </c>
      <c r="AHT3" s="28" t="e" cm="1" vm="1">
        <f t="array" ref="AHT3">_xlfn._xlws.FILTER(Rutas,_xlfn._xlws.FILTER($B$2:$B$10000,$B$2:$B$10000&lt;&gt;"")=VALUE(INDEX(IdClientes,MATCH(AHT2,Clientes,0))))</f>
        <v>#VALUE!</v>
      </c>
      <c r="AHU3" s="28" t="e" cm="1" vm="1">
        <f t="array" ref="AHU3">_xlfn._xlws.FILTER(Rutas,_xlfn._xlws.FILTER($B$2:$B$10000,$B$2:$B$10000&lt;&gt;"")=VALUE(INDEX(IdClientes,MATCH(AHU2,Clientes,0))))</f>
        <v>#VALUE!</v>
      </c>
      <c r="AHV3" s="28" t="e" cm="1" vm="1">
        <f t="array" ref="AHV3">_xlfn._xlws.FILTER(Rutas,_xlfn._xlws.FILTER($B$2:$B$10000,$B$2:$B$10000&lt;&gt;"")=VALUE(INDEX(IdClientes,MATCH(AHV2,Clientes,0))))</f>
        <v>#VALUE!</v>
      </c>
      <c r="AHW3" s="28" t="e" cm="1" vm="1">
        <f t="array" ref="AHW3">_xlfn._xlws.FILTER(Rutas,_xlfn._xlws.FILTER($B$2:$B$10000,$B$2:$B$10000&lt;&gt;"")=VALUE(INDEX(IdClientes,MATCH(AHW2,Clientes,0))))</f>
        <v>#VALUE!</v>
      </c>
      <c r="AHX3" s="28" t="e" cm="1" vm="1">
        <f t="array" ref="AHX3">_xlfn._xlws.FILTER(Rutas,_xlfn._xlws.FILTER($B$2:$B$10000,$B$2:$B$10000&lt;&gt;"")=VALUE(INDEX(IdClientes,MATCH(AHX2,Clientes,0))))</f>
        <v>#VALUE!</v>
      </c>
      <c r="AHY3" s="28" t="e" cm="1" vm="1">
        <f t="array" ref="AHY3">_xlfn._xlws.FILTER(Rutas,_xlfn._xlws.FILTER($B$2:$B$10000,$B$2:$B$10000&lt;&gt;"")=VALUE(INDEX(IdClientes,MATCH(AHY2,Clientes,0))))</f>
        <v>#VALUE!</v>
      </c>
      <c r="AHZ3" s="28" t="e" cm="1" vm="1">
        <f t="array" ref="AHZ3">_xlfn._xlws.FILTER(Rutas,_xlfn._xlws.FILTER($B$2:$B$10000,$B$2:$B$10000&lt;&gt;"")=VALUE(INDEX(IdClientes,MATCH(AHZ2,Clientes,0))))</f>
        <v>#VALUE!</v>
      </c>
      <c r="AIA3" s="28" t="e" cm="1" vm="1">
        <f t="array" ref="AIA3">_xlfn._xlws.FILTER(Rutas,_xlfn._xlws.FILTER($B$2:$B$10000,$B$2:$B$10000&lt;&gt;"")=VALUE(INDEX(IdClientes,MATCH(AIA2,Clientes,0))))</f>
        <v>#VALUE!</v>
      </c>
      <c r="AIB3" s="28" t="e" cm="1" vm="1">
        <f t="array" ref="AIB3">_xlfn._xlws.FILTER(Rutas,_xlfn._xlws.FILTER($B$2:$B$10000,$B$2:$B$10000&lt;&gt;"")=VALUE(INDEX(IdClientes,MATCH(AIB2,Clientes,0))))</f>
        <v>#VALUE!</v>
      </c>
      <c r="AIC3" s="28" t="e" cm="1" vm="1">
        <f t="array" ref="AIC3">_xlfn._xlws.FILTER(Rutas,_xlfn._xlws.FILTER($B$2:$B$10000,$B$2:$B$10000&lt;&gt;"")=VALUE(INDEX(IdClientes,MATCH(AIC2,Clientes,0))))</f>
        <v>#VALUE!</v>
      </c>
      <c r="AID3" s="28" t="e" cm="1" vm="1">
        <f t="array" ref="AID3">_xlfn._xlws.FILTER(Rutas,_xlfn._xlws.FILTER($B$2:$B$10000,$B$2:$B$10000&lt;&gt;"")=VALUE(INDEX(IdClientes,MATCH(AID2,Clientes,0))))</f>
        <v>#VALUE!</v>
      </c>
      <c r="AIE3" s="28" t="e" cm="1" vm="1">
        <f t="array" ref="AIE3">_xlfn._xlws.FILTER(Rutas,_xlfn._xlws.FILTER($B$2:$B$10000,$B$2:$B$10000&lt;&gt;"")=VALUE(INDEX(IdClientes,MATCH(AIE2,Clientes,0))))</f>
        <v>#VALUE!</v>
      </c>
      <c r="AIF3" s="28" t="e" cm="1" vm="1">
        <f t="array" ref="AIF3">_xlfn._xlws.FILTER(Rutas,_xlfn._xlws.FILTER($B$2:$B$10000,$B$2:$B$10000&lt;&gt;"")=VALUE(INDEX(IdClientes,MATCH(AIF2,Clientes,0))))</f>
        <v>#VALUE!</v>
      </c>
      <c r="AIG3" s="28" t="e" cm="1" vm="1">
        <f t="array" ref="AIG3">_xlfn._xlws.FILTER(Rutas,_xlfn._xlws.FILTER($B$2:$B$10000,$B$2:$B$10000&lt;&gt;"")=VALUE(INDEX(IdClientes,MATCH(AIG2,Clientes,0))))</f>
        <v>#VALUE!</v>
      </c>
      <c r="AIH3" s="28" t="e" cm="1" vm="1">
        <f t="array" ref="AIH3">_xlfn._xlws.FILTER(Rutas,_xlfn._xlws.FILTER($B$2:$B$10000,$B$2:$B$10000&lt;&gt;"")=VALUE(INDEX(IdClientes,MATCH(AIH2,Clientes,0))))</f>
        <v>#VALUE!</v>
      </c>
      <c r="AII3" s="28" t="e" cm="1" vm="1">
        <f t="array" ref="AII3">_xlfn._xlws.FILTER(Rutas,_xlfn._xlws.FILTER($B$2:$B$10000,$B$2:$B$10000&lt;&gt;"")=VALUE(INDEX(IdClientes,MATCH(AII2,Clientes,0))))</f>
        <v>#VALUE!</v>
      </c>
      <c r="AIJ3" s="28" t="e" cm="1" vm="1">
        <f t="array" ref="AIJ3">_xlfn._xlws.FILTER(Rutas,_xlfn._xlws.FILTER($B$2:$B$10000,$B$2:$B$10000&lt;&gt;"")=VALUE(INDEX(IdClientes,MATCH(AIJ2,Clientes,0))))</f>
        <v>#VALUE!</v>
      </c>
      <c r="AIK3" s="28" t="e" cm="1" vm="1">
        <f t="array" ref="AIK3">_xlfn._xlws.FILTER(Rutas,_xlfn._xlws.FILTER($B$2:$B$10000,$B$2:$B$10000&lt;&gt;"")=VALUE(INDEX(IdClientes,MATCH(AIK2,Clientes,0))))</f>
        <v>#VALUE!</v>
      </c>
      <c r="AIL3" s="28" t="e" cm="1" vm="1">
        <f t="array" ref="AIL3">_xlfn._xlws.FILTER(Rutas,_xlfn._xlws.FILTER($B$2:$B$10000,$B$2:$B$10000&lt;&gt;"")=VALUE(INDEX(IdClientes,MATCH(AIL2,Clientes,0))))</f>
        <v>#VALUE!</v>
      </c>
      <c r="AIM3" s="28" t="e" cm="1" vm="1">
        <f t="array" ref="AIM3">_xlfn._xlws.FILTER(Rutas,_xlfn._xlws.FILTER($B$2:$B$10000,$B$2:$B$10000&lt;&gt;"")=VALUE(INDEX(IdClientes,MATCH(AIM2,Clientes,0))))</f>
        <v>#VALUE!</v>
      </c>
      <c r="AIN3" s="28" t="e" cm="1" vm="1">
        <f t="array" ref="AIN3">_xlfn._xlws.FILTER(Rutas,_xlfn._xlws.FILTER($B$2:$B$10000,$B$2:$B$10000&lt;&gt;"")=VALUE(INDEX(IdClientes,MATCH(AIN2,Clientes,0))))</f>
        <v>#VALUE!</v>
      </c>
      <c r="AIO3" s="28" t="e" cm="1" vm="1">
        <f t="array" ref="AIO3">_xlfn._xlws.FILTER(Rutas,_xlfn._xlws.FILTER($B$2:$B$10000,$B$2:$B$10000&lt;&gt;"")=VALUE(INDEX(IdClientes,MATCH(AIO2,Clientes,0))))</f>
        <v>#VALUE!</v>
      </c>
      <c r="AIP3" s="28" t="e" cm="1" vm="1">
        <f t="array" ref="AIP3">_xlfn._xlws.FILTER(Rutas,_xlfn._xlws.FILTER($B$2:$B$10000,$B$2:$B$10000&lt;&gt;"")=VALUE(INDEX(IdClientes,MATCH(AIP2,Clientes,0))))</f>
        <v>#VALUE!</v>
      </c>
      <c r="AIQ3" s="28" t="e" cm="1" vm="1">
        <f t="array" ref="AIQ3">_xlfn._xlws.FILTER(Rutas,_xlfn._xlws.FILTER($B$2:$B$10000,$B$2:$B$10000&lt;&gt;"")=VALUE(INDEX(IdClientes,MATCH(AIQ2,Clientes,0))))</f>
        <v>#VALUE!</v>
      </c>
      <c r="AIR3" s="28" t="e" cm="1" vm="1">
        <f t="array" ref="AIR3">_xlfn._xlws.FILTER(Rutas,_xlfn._xlws.FILTER($B$2:$B$10000,$B$2:$B$10000&lt;&gt;"")=VALUE(INDEX(IdClientes,MATCH(AIR2,Clientes,0))))</f>
        <v>#VALUE!</v>
      </c>
      <c r="AIS3" s="28" t="e" cm="1" vm="1">
        <f t="array" ref="AIS3">_xlfn._xlws.FILTER(Rutas,_xlfn._xlws.FILTER($B$2:$B$10000,$B$2:$B$10000&lt;&gt;"")=VALUE(INDEX(IdClientes,MATCH(AIS2,Clientes,0))))</f>
        <v>#VALUE!</v>
      </c>
      <c r="AIT3" s="28" t="e" cm="1" vm="1">
        <f t="array" ref="AIT3">_xlfn._xlws.FILTER(Rutas,_xlfn._xlws.FILTER($B$2:$B$10000,$B$2:$B$10000&lt;&gt;"")=VALUE(INDEX(IdClientes,MATCH(AIT2,Clientes,0))))</f>
        <v>#VALUE!</v>
      </c>
      <c r="AIU3" s="28" t="e" cm="1" vm="1">
        <f t="array" ref="AIU3">_xlfn._xlws.FILTER(Rutas,_xlfn._xlws.FILTER($B$2:$B$10000,$B$2:$B$10000&lt;&gt;"")=VALUE(INDEX(IdClientes,MATCH(AIU2,Clientes,0))))</f>
        <v>#VALUE!</v>
      </c>
      <c r="AIV3" s="28" t="e" cm="1" vm="1">
        <f t="array" ref="AIV3">_xlfn._xlws.FILTER(Rutas,_xlfn._xlws.FILTER($B$2:$B$10000,$B$2:$B$10000&lt;&gt;"")=VALUE(INDEX(IdClientes,MATCH(AIV2,Clientes,0))))</f>
        <v>#VALUE!</v>
      </c>
      <c r="AIW3" s="28" t="e" cm="1" vm="1">
        <f t="array" ref="AIW3">_xlfn._xlws.FILTER(Rutas,_xlfn._xlws.FILTER($B$2:$B$10000,$B$2:$B$10000&lt;&gt;"")=VALUE(INDEX(IdClientes,MATCH(AIW2,Clientes,0))))</f>
        <v>#VALUE!</v>
      </c>
      <c r="AIX3" s="28" t="e" cm="1" vm="1">
        <f t="array" ref="AIX3">_xlfn._xlws.FILTER(Rutas,_xlfn._xlws.FILTER($B$2:$B$10000,$B$2:$B$10000&lt;&gt;"")=VALUE(INDEX(IdClientes,MATCH(AIX2,Clientes,0))))</f>
        <v>#VALUE!</v>
      </c>
      <c r="AIY3" s="28" t="e" cm="1" vm="1">
        <f t="array" ref="AIY3">_xlfn._xlws.FILTER(Rutas,_xlfn._xlws.FILTER($B$2:$B$10000,$B$2:$B$10000&lt;&gt;"")=VALUE(INDEX(IdClientes,MATCH(AIY2,Clientes,0))))</f>
        <v>#VALUE!</v>
      </c>
      <c r="AIZ3" s="28" t="e" cm="1" vm="1">
        <f t="array" ref="AIZ3">_xlfn._xlws.FILTER(Rutas,_xlfn._xlws.FILTER($B$2:$B$10000,$B$2:$B$10000&lt;&gt;"")=VALUE(INDEX(IdClientes,MATCH(AIZ2,Clientes,0))))</f>
        <v>#VALUE!</v>
      </c>
      <c r="AJA3" s="28" t="e" cm="1" vm="1">
        <f t="array" ref="AJA3">_xlfn._xlws.FILTER(Rutas,_xlfn._xlws.FILTER($B$2:$B$10000,$B$2:$B$10000&lt;&gt;"")=VALUE(INDEX(IdClientes,MATCH(AJA2,Clientes,0))))</f>
        <v>#VALUE!</v>
      </c>
      <c r="AJB3" s="28" t="e" cm="1" vm="1">
        <f t="array" ref="AJB3">_xlfn._xlws.FILTER(Rutas,_xlfn._xlws.FILTER($B$2:$B$10000,$B$2:$B$10000&lt;&gt;"")=VALUE(INDEX(IdClientes,MATCH(AJB2,Clientes,0))))</f>
        <v>#VALUE!</v>
      </c>
      <c r="AJC3" s="28" t="e" cm="1" vm="1">
        <f t="array" ref="AJC3">_xlfn._xlws.FILTER(Rutas,_xlfn._xlws.FILTER($B$2:$B$10000,$B$2:$B$10000&lt;&gt;"")=VALUE(INDEX(IdClientes,MATCH(AJC2,Clientes,0))))</f>
        <v>#VALUE!</v>
      </c>
      <c r="AJD3" s="28" t="e" cm="1" vm="1">
        <f t="array" ref="AJD3">_xlfn._xlws.FILTER(Rutas,_xlfn._xlws.FILTER($B$2:$B$10000,$B$2:$B$10000&lt;&gt;"")=VALUE(INDEX(IdClientes,MATCH(AJD2,Clientes,0))))</f>
        <v>#VALUE!</v>
      </c>
      <c r="AJE3" s="28" t="e" cm="1" vm="1">
        <f t="array" ref="AJE3">_xlfn._xlws.FILTER(Rutas,_xlfn._xlws.FILTER($B$2:$B$10000,$B$2:$B$10000&lt;&gt;"")=VALUE(INDEX(IdClientes,MATCH(AJE2,Clientes,0))))</f>
        <v>#VALUE!</v>
      </c>
      <c r="AJF3" s="28" t="e" cm="1" vm="1">
        <f t="array" ref="AJF3">_xlfn._xlws.FILTER(Rutas,_xlfn._xlws.FILTER($B$2:$B$10000,$B$2:$B$10000&lt;&gt;"")=VALUE(INDEX(IdClientes,MATCH(AJF2,Clientes,0))))</f>
        <v>#VALUE!</v>
      </c>
      <c r="AJG3" s="28" t="e" cm="1" vm="1">
        <f t="array" ref="AJG3">_xlfn._xlws.FILTER(Rutas,_xlfn._xlws.FILTER($B$2:$B$10000,$B$2:$B$10000&lt;&gt;"")=VALUE(INDEX(IdClientes,MATCH(AJG2,Clientes,0))))</f>
        <v>#VALUE!</v>
      </c>
      <c r="AJH3" s="28" t="e" cm="1" vm="1">
        <f t="array" ref="AJH3">_xlfn._xlws.FILTER(Rutas,_xlfn._xlws.FILTER($B$2:$B$10000,$B$2:$B$10000&lt;&gt;"")=VALUE(INDEX(IdClientes,MATCH(AJH2,Clientes,0))))</f>
        <v>#VALUE!</v>
      </c>
      <c r="AJI3" s="28" t="e" cm="1" vm="1">
        <f t="array" ref="AJI3">_xlfn._xlws.FILTER(Rutas,_xlfn._xlws.FILTER($B$2:$B$10000,$B$2:$B$10000&lt;&gt;"")=VALUE(INDEX(IdClientes,MATCH(AJI2,Clientes,0))))</f>
        <v>#VALUE!</v>
      </c>
      <c r="AJJ3" s="28" t="e" cm="1" vm="1">
        <f t="array" ref="AJJ3">_xlfn._xlws.FILTER(Rutas,_xlfn._xlws.FILTER($B$2:$B$10000,$B$2:$B$10000&lt;&gt;"")=VALUE(INDEX(IdClientes,MATCH(AJJ2,Clientes,0))))</f>
        <v>#VALUE!</v>
      </c>
      <c r="AJK3" s="28" t="e" cm="1" vm="1">
        <f t="array" ref="AJK3">_xlfn._xlws.FILTER(Rutas,_xlfn._xlws.FILTER($B$2:$B$10000,$B$2:$B$10000&lt;&gt;"")=VALUE(INDEX(IdClientes,MATCH(AJK2,Clientes,0))))</f>
        <v>#VALUE!</v>
      </c>
      <c r="AJL3" s="28" t="e" cm="1" vm="1">
        <f t="array" ref="AJL3">_xlfn._xlws.FILTER(Rutas,_xlfn._xlws.FILTER($B$2:$B$10000,$B$2:$B$10000&lt;&gt;"")=VALUE(INDEX(IdClientes,MATCH(AJL2,Clientes,0))))</f>
        <v>#VALUE!</v>
      </c>
      <c r="AJM3" s="28" t="e" cm="1" vm="1">
        <f t="array" ref="AJM3">_xlfn._xlws.FILTER(Rutas,_xlfn._xlws.FILTER($B$2:$B$10000,$B$2:$B$10000&lt;&gt;"")=VALUE(INDEX(IdClientes,MATCH(AJM2,Clientes,0))))</f>
        <v>#VALUE!</v>
      </c>
      <c r="AJN3" s="28" t="e" cm="1" vm="1">
        <f t="array" ref="AJN3">_xlfn._xlws.FILTER(Rutas,_xlfn._xlws.FILTER($B$2:$B$10000,$B$2:$B$10000&lt;&gt;"")=VALUE(INDEX(IdClientes,MATCH(AJN2,Clientes,0))))</f>
        <v>#VALUE!</v>
      </c>
      <c r="AJO3" s="28" t="e" cm="1" vm="1">
        <f t="array" ref="AJO3">_xlfn._xlws.FILTER(Rutas,_xlfn._xlws.FILTER($B$2:$B$10000,$B$2:$B$10000&lt;&gt;"")=VALUE(INDEX(IdClientes,MATCH(AJO2,Clientes,0))))</f>
        <v>#VALUE!</v>
      </c>
      <c r="AJP3" s="28" t="e" cm="1" vm="1">
        <f t="array" ref="AJP3">_xlfn._xlws.FILTER(Rutas,_xlfn._xlws.FILTER($B$2:$B$10000,$B$2:$B$10000&lt;&gt;"")=VALUE(INDEX(IdClientes,MATCH(AJP2,Clientes,0))))</f>
        <v>#VALUE!</v>
      </c>
      <c r="AJQ3" s="28" t="e" cm="1" vm="1">
        <f t="array" ref="AJQ3">_xlfn._xlws.FILTER(Rutas,_xlfn._xlws.FILTER($B$2:$B$10000,$B$2:$B$10000&lt;&gt;"")=VALUE(INDEX(IdClientes,MATCH(AJQ2,Clientes,0))))</f>
        <v>#VALUE!</v>
      </c>
      <c r="AJR3" s="28" t="e" cm="1" vm="1">
        <f t="array" ref="AJR3">_xlfn._xlws.FILTER(Rutas,_xlfn._xlws.FILTER($B$2:$B$10000,$B$2:$B$10000&lt;&gt;"")=VALUE(INDEX(IdClientes,MATCH(AJR2,Clientes,0))))</f>
        <v>#VALUE!</v>
      </c>
      <c r="AJS3" s="28" t="e" cm="1" vm="1">
        <f t="array" ref="AJS3">_xlfn._xlws.FILTER(Rutas,_xlfn._xlws.FILTER($B$2:$B$10000,$B$2:$B$10000&lt;&gt;"")=VALUE(INDEX(IdClientes,MATCH(AJS2,Clientes,0))))</f>
        <v>#VALUE!</v>
      </c>
      <c r="AJT3" s="28" t="e" cm="1" vm="1">
        <f t="array" ref="AJT3">_xlfn._xlws.FILTER(Rutas,_xlfn._xlws.FILTER($B$2:$B$10000,$B$2:$B$10000&lt;&gt;"")=VALUE(INDEX(IdClientes,MATCH(AJT2,Clientes,0))))</f>
        <v>#VALUE!</v>
      </c>
      <c r="AJU3" s="28" t="e" cm="1" vm="1">
        <f t="array" ref="AJU3">_xlfn._xlws.FILTER(Rutas,_xlfn._xlws.FILTER($B$2:$B$10000,$B$2:$B$10000&lt;&gt;"")=VALUE(INDEX(IdClientes,MATCH(AJU2,Clientes,0))))</f>
        <v>#VALUE!</v>
      </c>
      <c r="AJV3" s="28" t="e" cm="1" vm="1">
        <f t="array" ref="AJV3">_xlfn._xlws.FILTER(Rutas,_xlfn._xlws.FILTER($B$2:$B$10000,$B$2:$B$10000&lt;&gt;"")=VALUE(INDEX(IdClientes,MATCH(AJV2,Clientes,0))))</f>
        <v>#VALUE!</v>
      </c>
      <c r="AJW3" s="28" t="e" cm="1" vm="1">
        <f t="array" ref="AJW3">_xlfn._xlws.FILTER(Rutas,_xlfn._xlws.FILTER($B$2:$B$10000,$B$2:$B$10000&lt;&gt;"")=VALUE(INDEX(IdClientes,MATCH(AJW2,Clientes,0))))</f>
        <v>#VALUE!</v>
      </c>
      <c r="AJX3" s="28" t="e" cm="1" vm="1">
        <f t="array" ref="AJX3">_xlfn._xlws.FILTER(Rutas,_xlfn._xlws.FILTER($B$2:$B$10000,$B$2:$B$10000&lt;&gt;"")=VALUE(INDEX(IdClientes,MATCH(AJX2,Clientes,0))))</f>
        <v>#VALUE!</v>
      </c>
      <c r="AJY3" s="28" t="e" cm="1" vm="1">
        <f t="array" ref="AJY3">_xlfn._xlws.FILTER(Rutas,_xlfn._xlws.FILTER($B$2:$B$10000,$B$2:$B$10000&lt;&gt;"")=VALUE(INDEX(IdClientes,MATCH(AJY2,Clientes,0))))</f>
        <v>#VALUE!</v>
      </c>
      <c r="AJZ3" s="28" t="e" cm="1" vm="1">
        <f t="array" ref="AJZ3">_xlfn._xlws.FILTER(Rutas,_xlfn._xlws.FILTER($B$2:$B$10000,$B$2:$B$10000&lt;&gt;"")=VALUE(INDEX(IdClientes,MATCH(AJZ2,Clientes,0))))</f>
        <v>#VALUE!</v>
      </c>
      <c r="AKA3" s="28" t="e" cm="1" vm="1">
        <f t="array" ref="AKA3">_xlfn._xlws.FILTER(Rutas,_xlfn._xlws.FILTER($B$2:$B$10000,$B$2:$B$10000&lt;&gt;"")=VALUE(INDEX(IdClientes,MATCH(AKA2,Clientes,0))))</f>
        <v>#VALUE!</v>
      </c>
      <c r="AKB3" s="28" t="e" cm="1" vm="1">
        <f t="array" ref="AKB3">_xlfn._xlws.FILTER(Rutas,_xlfn._xlws.FILTER($B$2:$B$10000,$B$2:$B$10000&lt;&gt;"")=VALUE(INDEX(IdClientes,MATCH(AKB2,Clientes,0))))</f>
        <v>#VALUE!</v>
      </c>
      <c r="AKC3" s="28" t="e" cm="1" vm="1">
        <f t="array" ref="AKC3">_xlfn._xlws.FILTER(Rutas,_xlfn._xlws.FILTER($B$2:$B$10000,$B$2:$B$10000&lt;&gt;"")=VALUE(INDEX(IdClientes,MATCH(AKC2,Clientes,0))))</f>
        <v>#VALUE!</v>
      </c>
      <c r="AKD3" s="28" t="e" cm="1" vm="1">
        <f t="array" ref="AKD3">_xlfn._xlws.FILTER(Rutas,_xlfn._xlws.FILTER($B$2:$B$10000,$B$2:$B$10000&lt;&gt;"")=VALUE(INDEX(IdClientes,MATCH(AKD2,Clientes,0))))</f>
        <v>#VALUE!</v>
      </c>
      <c r="AKE3" s="28" t="e" cm="1" vm="1">
        <f t="array" ref="AKE3">_xlfn._xlws.FILTER(Rutas,_xlfn._xlws.FILTER($B$2:$B$10000,$B$2:$B$10000&lt;&gt;"")=VALUE(INDEX(IdClientes,MATCH(AKE2,Clientes,0))))</f>
        <v>#VALUE!</v>
      </c>
      <c r="AKF3" s="28" t="e" cm="1" vm="1">
        <f t="array" ref="AKF3">_xlfn._xlws.FILTER(Rutas,_xlfn._xlws.FILTER($B$2:$B$10000,$B$2:$B$10000&lt;&gt;"")=VALUE(INDEX(IdClientes,MATCH(AKF2,Clientes,0))))</f>
        <v>#VALUE!</v>
      </c>
      <c r="AKG3" s="28" t="e" cm="1" vm="1">
        <f t="array" ref="AKG3">_xlfn._xlws.FILTER(Rutas,_xlfn._xlws.FILTER($B$2:$B$10000,$B$2:$B$10000&lt;&gt;"")=VALUE(INDEX(IdClientes,MATCH(AKG2,Clientes,0))))</f>
        <v>#VALUE!</v>
      </c>
      <c r="AKH3" s="28" t="e" cm="1" vm="1">
        <f t="array" ref="AKH3">_xlfn._xlws.FILTER(Rutas,_xlfn._xlws.FILTER($B$2:$B$10000,$B$2:$B$10000&lt;&gt;"")=VALUE(INDEX(IdClientes,MATCH(AKH2,Clientes,0))))</f>
        <v>#VALUE!</v>
      </c>
      <c r="AKI3" s="28" t="e" cm="1" vm="1">
        <f t="array" ref="AKI3">_xlfn._xlws.FILTER(Rutas,_xlfn._xlws.FILTER($B$2:$B$10000,$B$2:$B$10000&lt;&gt;"")=VALUE(INDEX(IdClientes,MATCH(AKI2,Clientes,0))))</f>
        <v>#VALUE!</v>
      </c>
      <c r="AKJ3" s="28" t="e" cm="1" vm="1">
        <f t="array" ref="AKJ3">_xlfn._xlws.FILTER(Rutas,_xlfn._xlws.FILTER($B$2:$B$10000,$B$2:$B$10000&lt;&gt;"")=VALUE(INDEX(IdClientes,MATCH(AKJ2,Clientes,0))))</f>
        <v>#VALUE!</v>
      </c>
      <c r="AKK3" s="28" t="e" cm="1" vm="1">
        <f t="array" ref="AKK3">_xlfn._xlws.FILTER(Rutas,_xlfn._xlws.FILTER($B$2:$B$10000,$B$2:$B$10000&lt;&gt;"")=VALUE(INDEX(IdClientes,MATCH(AKK2,Clientes,0))))</f>
        <v>#VALUE!</v>
      </c>
      <c r="AKL3" s="28" t="e" cm="1" vm="1">
        <f t="array" ref="AKL3">_xlfn._xlws.FILTER(Rutas,_xlfn._xlws.FILTER($B$2:$B$10000,$B$2:$B$10000&lt;&gt;"")=VALUE(INDEX(IdClientes,MATCH(AKL2,Clientes,0))))</f>
        <v>#VALUE!</v>
      </c>
      <c r="AKM3" s="28" t="e" cm="1" vm="1">
        <f t="array" ref="AKM3">_xlfn._xlws.FILTER(Rutas,_xlfn._xlws.FILTER($B$2:$B$10000,$B$2:$B$10000&lt;&gt;"")=VALUE(INDEX(IdClientes,MATCH(AKM2,Clientes,0))))</f>
        <v>#VALUE!</v>
      </c>
      <c r="AKN3" s="28" t="e" cm="1" vm="1">
        <f t="array" ref="AKN3">_xlfn._xlws.FILTER(Rutas,_xlfn._xlws.FILTER($B$2:$B$10000,$B$2:$B$10000&lt;&gt;"")=VALUE(INDEX(IdClientes,MATCH(AKN2,Clientes,0))))</f>
        <v>#VALUE!</v>
      </c>
      <c r="AKO3" s="28" t="e" cm="1" vm="1">
        <f t="array" ref="AKO3">_xlfn._xlws.FILTER(Rutas,_xlfn._xlws.FILTER($B$2:$B$10000,$B$2:$B$10000&lt;&gt;"")=VALUE(INDEX(IdClientes,MATCH(AKO2,Clientes,0))))</f>
        <v>#VALUE!</v>
      </c>
      <c r="AKP3" s="28" t="e" cm="1" vm="1">
        <f t="array" ref="AKP3">_xlfn._xlws.FILTER(Rutas,_xlfn._xlws.FILTER($B$2:$B$10000,$B$2:$B$10000&lt;&gt;"")=VALUE(INDEX(IdClientes,MATCH(AKP2,Clientes,0))))</f>
        <v>#VALUE!</v>
      </c>
      <c r="AKQ3" s="28" t="e" cm="1" vm="1">
        <f t="array" ref="AKQ3">_xlfn._xlws.FILTER(Rutas,_xlfn._xlws.FILTER($B$2:$B$10000,$B$2:$B$10000&lt;&gt;"")=VALUE(INDEX(IdClientes,MATCH(AKQ2,Clientes,0))))</f>
        <v>#VALUE!</v>
      </c>
      <c r="AKR3" s="28" t="e" cm="1" vm="1">
        <f t="array" ref="AKR3">_xlfn._xlws.FILTER(Rutas,_xlfn._xlws.FILTER($B$2:$B$10000,$B$2:$B$10000&lt;&gt;"")=VALUE(INDEX(IdClientes,MATCH(AKR2,Clientes,0))))</f>
        <v>#VALUE!</v>
      </c>
      <c r="AKS3" s="28" t="e" cm="1" vm="1">
        <f t="array" ref="AKS3">_xlfn._xlws.FILTER(Rutas,_xlfn._xlws.FILTER($B$2:$B$10000,$B$2:$B$10000&lt;&gt;"")=VALUE(INDEX(IdClientes,MATCH(AKS2,Clientes,0))))</f>
        <v>#VALUE!</v>
      </c>
      <c r="AKT3" s="28" t="e" cm="1" vm="1">
        <f t="array" ref="AKT3">_xlfn._xlws.FILTER(Rutas,_xlfn._xlws.FILTER($B$2:$B$10000,$B$2:$B$10000&lt;&gt;"")=VALUE(INDEX(IdClientes,MATCH(AKT2,Clientes,0))))</f>
        <v>#VALUE!</v>
      </c>
      <c r="AKU3" s="28" t="e" cm="1" vm="1">
        <f t="array" ref="AKU3">_xlfn._xlws.FILTER(Rutas,_xlfn._xlws.FILTER($B$2:$B$10000,$B$2:$B$10000&lt;&gt;"")=VALUE(INDEX(IdClientes,MATCH(AKU2,Clientes,0))))</f>
        <v>#VALUE!</v>
      </c>
      <c r="AKV3" s="28" t="e" cm="1" vm="1">
        <f t="array" ref="AKV3">_xlfn._xlws.FILTER(Rutas,_xlfn._xlws.FILTER($B$2:$B$10000,$B$2:$B$10000&lt;&gt;"")=VALUE(INDEX(IdClientes,MATCH(AKV2,Clientes,0))))</f>
        <v>#VALUE!</v>
      </c>
      <c r="AKW3" s="28" t="e" cm="1" vm="1">
        <f t="array" ref="AKW3">_xlfn._xlws.FILTER(Rutas,_xlfn._xlws.FILTER($B$2:$B$10000,$B$2:$B$10000&lt;&gt;"")=VALUE(INDEX(IdClientes,MATCH(AKW2,Clientes,0))))</f>
        <v>#VALUE!</v>
      </c>
      <c r="AKX3" s="28" t="e" cm="1" vm="1">
        <f t="array" ref="AKX3">_xlfn._xlws.FILTER(Rutas,_xlfn._xlws.FILTER($B$2:$B$10000,$B$2:$B$10000&lt;&gt;"")=VALUE(INDEX(IdClientes,MATCH(AKX2,Clientes,0))))</f>
        <v>#VALUE!</v>
      </c>
      <c r="AKY3" s="28" t="e" cm="1" vm="1">
        <f t="array" ref="AKY3">_xlfn._xlws.FILTER(Rutas,_xlfn._xlws.FILTER($B$2:$B$10000,$B$2:$B$10000&lt;&gt;"")=VALUE(INDEX(IdClientes,MATCH(AKY2,Clientes,0))))</f>
        <v>#VALUE!</v>
      </c>
      <c r="AKZ3" s="28" t="e" cm="1" vm="1">
        <f t="array" ref="AKZ3">_xlfn._xlws.FILTER(Rutas,_xlfn._xlws.FILTER($B$2:$B$10000,$B$2:$B$10000&lt;&gt;"")=VALUE(INDEX(IdClientes,MATCH(AKZ2,Clientes,0))))</f>
        <v>#VALUE!</v>
      </c>
      <c r="ALA3" s="28" t="e" cm="1" vm="1">
        <f t="array" ref="ALA3">_xlfn._xlws.FILTER(Rutas,_xlfn._xlws.FILTER($B$2:$B$10000,$B$2:$B$10000&lt;&gt;"")=VALUE(INDEX(IdClientes,MATCH(ALA2,Clientes,0))))</f>
        <v>#VALUE!</v>
      </c>
      <c r="ALB3" s="28" t="e" cm="1" vm="1">
        <f t="array" ref="ALB3">_xlfn._xlws.FILTER(Rutas,_xlfn._xlws.FILTER($B$2:$B$10000,$B$2:$B$10000&lt;&gt;"")=VALUE(INDEX(IdClientes,MATCH(ALB2,Clientes,0))))</f>
        <v>#VALUE!</v>
      </c>
      <c r="ALC3" s="28" t="e" cm="1" vm="1">
        <f t="array" ref="ALC3">_xlfn._xlws.FILTER(Rutas,_xlfn._xlws.FILTER($B$2:$B$10000,$B$2:$B$10000&lt;&gt;"")=VALUE(INDEX(IdClientes,MATCH(ALC2,Clientes,0))))</f>
        <v>#VALUE!</v>
      </c>
      <c r="ALD3" s="28" t="e" cm="1" vm="1">
        <f t="array" ref="ALD3">_xlfn._xlws.FILTER(Rutas,_xlfn._xlws.FILTER($B$2:$B$10000,$B$2:$B$10000&lt;&gt;"")=VALUE(INDEX(IdClientes,MATCH(ALD2,Clientes,0))))</f>
        <v>#VALUE!</v>
      </c>
      <c r="ALE3" s="28" t="e" cm="1" vm="1">
        <f t="array" ref="ALE3">_xlfn._xlws.FILTER(Rutas,_xlfn._xlws.FILTER($B$2:$B$10000,$B$2:$B$10000&lt;&gt;"")=VALUE(INDEX(IdClientes,MATCH(ALE2,Clientes,0))))</f>
        <v>#VALUE!</v>
      </c>
      <c r="ALF3" s="28" t="e" cm="1" vm="1">
        <f t="array" ref="ALF3">_xlfn._xlws.FILTER(Rutas,_xlfn._xlws.FILTER($B$2:$B$10000,$B$2:$B$10000&lt;&gt;"")=VALUE(INDEX(IdClientes,MATCH(ALF2,Clientes,0))))</f>
        <v>#VALUE!</v>
      </c>
      <c r="ALG3" s="28" t="e" cm="1" vm="1">
        <f t="array" ref="ALG3">_xlfn._xlws.FILTER(Rutas,_xlfn._xlws.FILTER($B$2:$B$10000,$B$2:$B$10000&lt;&gt;"")=VALUE(INDEX(IdClientes,MATCH(ALG2,Clientes,0))))</f>
        <v>#VALUE!</v>
      </c>
      <c r="ALH3" s="28" t="e" cm="1" vm="1">
        <f t="array" ref="ALH3">_xlfn._xlws.FILTER(Rutas,_xlfn._xlws.FILTER($B$2:$B$10000,$B$2:$B$10000&lt;&gt;"")=VALUE(INDEX(IdClientes,MATCH(ALH2,Clientes,0))))</f>
        <v>#VALUE!</v>
      </c>
      <c r="ALI3" s="28" t="e" cm="1" vm="1">
        <f t="array" ref="ALI3">_xlfn._xlws.FILTER(Rutas,_xlfn._xlws.FILTER($B$2:$B$10000,$B$2:$B$10000&lt;&gt;"")=VALUE(INDEX(IdClientes,MATCH(ALI2,Clientes,0))))</f>
        <v>#VALUE!</v>
      </c>
      <c r="ALJ3" s="28" t="e" cm="1" vm="1">
        <f t="array" ref="ALJ3">_xlfn._xlws.FILTER(Rutas,_xlfn._xlws.FILTER($B$2:$B$10000,$B$2:$B$10000&lt;&gt;"")=VALUE(INDEX(IdClientes,MATCH(ALJ2,Clientes,0))))</f>
        <v>#VALUE!</v>
      </c>
      <c r="ALK3" s="28" t="e" cm="1" vm="1">
        <f t="array" ref="ALK3">_xlfn._xlws.FILTER(Rutas,_xlfn._xlws.FILTER($B$2:$B$10000,$B$2:$B$10000&lt;&gt;"")=VALUE(INDEX(IdClientes,MATCH(ALK2,Clientes,0))))</f>
        <v>#VALUE!</v>
      </c>
      <c r="ALL3" s="28" t="e" cm="1" vm="1">
        <f t="array" ref="ALL3">_xlfn._xlws.FILTER(Rutas,_xlfn._xlws.FILTER($B$2:$B$10000,$B$2:$B$10000&lt;&gt;"")=VALUE(INDEX(IdClientes,MATCH(ALL2,Clientes,0))))</f>
        <v>#VALUE!</v>
      </c>
      <c r="ALM3" s="28" t="e" cm="1" vm="1">
        <f t="array" ref="ALM3">_xlfn._xlws.FILTER(Rutas,_xlfn._xlws.FILTER($B$2:$B$10000,$B$2:$B$10000&lt;&gt;"")=VALUE(INDEX(IdClientes,MATCH(ALM2,Clientes,0))))</f>
        <v>#VALUE!</v>
      </c>
      <c r="ALN3" s="28" t="e" cm="1" vm="1">
        <f t="array" ref="ALN3">_xlfn._xlws.FILTER(Rutas,_xlfn._xlws.FILTER($B$2:$B$10000,$B$2:$B$10000&lt;&gt;"")=VALUE(INDEX(IdClientes,MATCH(ALN2,Clientes,0))))</f>
        <v>#VALUE!</v>
      </c>
      <c r="ALO3" s="28" t="e" cm="1" vm="1">
        <f t="array" ref="ALO3">_xlfn._xlws.FILTER(Rutas,_xlfn._xlws.FILTER($B$2:$B$10000,$B$2:$B$10000&lt;&gt;"")=VALUE(INDEX(IdClientes,MATCH(ALO2,Clientes,0))))</f>
        <v>#VALUE!</v>
      </c>
      <c r="ALP3" s="28" t="e" cm="1" vm="1">
        <f t="array" ref="ALP3">_xlfn._xlws.FILTER(Rutas,_xlfn._xlws.FILTER($B$2:$B$10000,$B$2:$B$10000&lt;&gt;"")=VALUE(INDEX(IdClientes,MATCH(ALP2,Clientes,0))))</f>
        <v>#VALUE!</v>
      </c>
      <c r="ALQ3" s="28" t="e" cm="1" vm="1">
        <f t="array" ref="ALQ3">_xlfn._xlws.FILTER(Rutas,_xlfn._xlws.FILTER($B$2:$B$10000,$B$2:$B$10000&lt;&gt;"")=VALUE(INDEX(IdClientes,MATCH(ALQ2,Clientes,0))))</f>
        <v>#VALUE!</v>
      </c>
      <c r="ALR3" s="28" t="e" cm="1" vm="1">
        <f t="array" ref="ALR3">_xlfn._xlws.FILTER(Rutas,_xlfn._xlws.FILTER($B$2:$B$10000,$B$2:$B$10000&lt;&gt;"")=VALUE(INDEX(IdClientes,MATCH(ALR2,Clientes,0))))</f>
        <v>#VALUE!</v>
      </c>
      <c r="ALS3" s="28" t="e" cm="1" vm="1">
        <f t="array" ref="ALS3">_xlfn._xlws.FILTER(Rutas,_xlfn._xlws.FILTER($B$2:$B$10000,$B$2:$B$10000&lt;&gt;"")=VALUE(INDEX(IdClientes,MATCH(ALS2,Clientes,0))))</f>
        <v>#VALUE!</v>
      </c>
      <c r="ALT3" s="28" t="e" cm="1" vm="1">
        <f t="array" ref="ALT3">_xlfn._xlws.FILTER(Rutas,_xlfn._xlws.FILTER($B$2:$B$10000,$B$2:$B$10000&lt;&gt;"")=VALUE(INDEX(IdClientes,MATCH(ALT2,Clientes,0))))</f>
        <v>#VALUE!</v>
      </c>
      <c r="ALU3" s="28" t="e" cm="1" vm="1">
        <f t="array" ref="ALU3">_xlfn._xlws.FILTER(Rutas,_xlfn._xlws.FILTER($B$2:$B$10000,$B$2:$B$10000&lt;&gt;"")=VALUE(INDEX(IdClientes,MATCH(ALU2,Clientes,0))))</f>
        <v>#VALUE!</v>
      </c>
      <c r="ALV3" s="28" t="e" cm="1" vm="1">
        <f t="array" ref="ALV3">_xlfn._xlws.FILTER(Rutas,_xlfn._xlws.FILTER($B$2:$B$10000,$B$2:$B$10000&lt;&gt;"")=VALUE(INDEX(IdClientes,MATCH(ALV2,Clientes,0))))</f>
        <v>#VALUE!</v>
      </c>
      <c r="ALW3" s="28" t="e" cm="1" vm="1">
        <f t="array" ref="ALW3">_xlfn._xlws.FILTER(Rutas,_xlfn._xlws.FILTER($B$2:$B$10000,$B$2:$B$10000&lt;&gt;"")=VALUE(INDEX(IdClientes,MATCH(ALW2,Clientes,0))))</f>
        <v>#VALUE!</v>
      </c>
      <c r="ALX3" s="28" t="e" cm="1" vm="1">
        <f t="array" ref="ALX3">_xlfn._xlws.FILTER(Rutas,_xlfn._xlws.FILTER($B$2:$B$10000,$B$2:$B$10000&lt;&gt;"")=VALUE(INDEX(IdClientes,MATCH(ALX2,Clientes,0))))</f>
        <v>#VALUE!</v>
      </c>
      <c r="ALY3" s="28" t="e" cm="1" vm="1">
        <f t="array" ref="ALY3">_xlfn._xlws.FILTER(Rutas,_xlfn._xlws.FILTER($B$2:$B$10000,$B$2:$B$10000&lt;&gt;"")=VALUE(INDEX(IdClientes,MATCH(ALY2,Clientes,0))))</f>
        <v>#VALUE!</v>
      </c>
      <c r="ALZ3" s="28" t="e" cm="1" vm="1">
        <f t="array" ref="ALZ3">_xlfn._xlws.FILTER(Rutas,_xlfn._xlws.FILTER($B$2:$B$10000,$B$2:$B$10000&lt;&gt;"")=VALUE(INDEX(IdClientes,MATCH(ALZ2,Clientes,0))))</f>
        <v>#VALUE!</v>
      </c>
      <c r="AMA3" s="28" t="e" cm="1" vm="1">
        <f t="array" ref="AMA3">_xlfn._xlws.FILTER(Rutas,_xlfn._xlws.FILTER($B$2:$B$10000,$B$2:$B$10000&lt;&gt;"")=VALUE(INDEX(IdClientes,MATCH(AMA2,Clientes,0))))</f>
        <v>#VALUE!</v>
      </c>
      <c r="AMB3" s="28" t="e" cm="1" vm="1">
        <f t="array" ref="AMB3">_xlfn._xlws.FILTER(Rutas,_xlfn._xlws.FILTER($B$2:$B$10000,$B$2:$B$10000&lt;&gt;"")=VALUE(INDEX(IdClientes,MATCH(AMB2,Clientes,0))))</f>
        <v>#VALUE!</v>
      </c>
      <c r="AMC3" s="28" t="e" cm="1" vm="1">
        <f t="array" ref="AMC3">_xlfn._xlws.FILTER(Rutas,_xlfn._xlws.FILTER($B$2:$B$10000,$B$2:$B$10000&lt;&gt;"")=VALUE(INDEX(IdClientes,MATCH(AMC2,Clientes,0))))</f>
        <v>#VALUE!</v>
      </c>
      <c r="AMD3" s="28" t="e" cm="1" vm="1">
        <f t="array" ref="AMD3">_xlfn._xlws.FILTER(Rutas,_xlfn._xlws.FILTER($B$2:$B$10000,$B$2:$B$10000&lt;&gt;"")=VALUE(INDEX(IdClientes,MATCH(AMD2,Clientes,0))))</f>
        <v>#VALUE!</v>
      </c>
      <c r="AME3" s="28" t="e" cm="1" vm="1">
        <f t="array" ref="AME3">_xlfn._xlws.FILTER(Rutas,_xlfn._xlws.FILTER($B$2:$B$10000,$B$2:$B$10000&lt;&gt;"")=VALUE(INDEX(IdClientes,MATCH(AME2,Clientes,0))))</f>
        <v>#VALUE!</v>
      </c>
      <c r="AMF3" s="28" t="e" cm="1" vm="1">
        <f t="array" ref="AMF3">_xlfn._xlws.FILTER(Rutas,_xlfn._xlws.FILTER($B$2:$B$10000,$B$2:$B$10000&lt;&gt;"")=VALUE(INDEX(IdClientes,MATCH(AMF2,Clientes,0))))</f>
        <v>#VALUE!</v>
      </c>
      <c r="AMG3" s="28" t="e" cm="1" vm="1">
        <f t="array" ref="AMG3">_xlfn._xlws.FILTER(Rutas,_xlfn._xlws.FILTER($B$2:$B$10000,$B$2:$B$10000&lt;&gt;"")=VALUE(INDEX(IdClientes,MATCH(AMG2,Clientes,0))))</f>
        <v>#VALUE!</v>
      </c>
      <c r="AMH3" s="28" t="e" cm="1" vm="1">
        <f t="array" ref="AMH3">_xlfn._xlws.FILTER(Rutas,_xlfn._xlws.FILTER($B$2:$B$10000,$B$2:$B$10000&lt;&gt;"")=VALUE(INDEX(IdClientes,MATCH(AMH2,Clientes,0))))</f>
        <v>#VALUE!</v>
      </c>
      <c r="AMI3" s="28" t="e" cm="1" vm="1">
        <f t="array" ref="AMI3">_xlfn._xlws.FILTER(Rutas,_xlfn._xlws.FILTER($B$2:$B$10000,$B$2:$B$10000&lt;&gt;"")=VALUE(INDEX(IdClientes,MATCH(AMI2,Clientes,0))))</f>
        <v>#VALUE!</v>
      </c>
      <c r="AMJ3" s="28" t="e" cm="1" vm="1">
        <f t="array" ref="AMJ3">_xlfn._xlws.FILTER(Rutas,_xlfn._xlws.FILTER($B$2:$B$10000,$B$2:$B$10000&lt;&gt;"")=VALUE(INDEX(IdClientes,MATCH(AMJ2,Clientes,0))))</f>
        <v>#VALUE!</v>
      </c>
      <c r="AMK3" s="28" t="e" cm="1" vm="1">
        <f t="array" ref="AMK3">_xlfn._xlws.FILTER(Rutas,_xlfn._xlws.FILTER($B$2:$B$10000,$B$2:$B$10000&lt;&gt;"")=VALUE(INDEX(IdClientes,MATCH(AMK2,Clientes,0))))</f>
        <v>#VALUE!</v>
      </c>
      <c r="AML3" s="28" t="e" cm="1" vm="1">
        <f t="array" ref="AML3">_xlfn._xlws.FILTER(Rutas,_xlfn._xlws.FILTER($B$2:$B$10000,$B$2:$B$10000&lt;&gt;"")=VALUE(INDEX(IdClientes,MATCH(AML2,Clientes,0))))</f>
        <v>#VALUE!</v>
      </c>
      <c r="AMM3" s="28" t="e" cm="1" vm="1">
        <f t="array" ref="AMM3">_xlfn._xlws.FILTER(Rutas,_xlfn._xlws.FILTER($B$2:$B$10000,$B$2:$B$10000&lt;&gt;"")=VALUE(INDEX(IdClientes,MATCH(AMM2,Clientes,0))))</f>
        <v>#VALUE!</v>
      </c>
      <c r="AMN3" s="28" t="e" cm="1" vm="1">
        <f t="array" ref="AMN3">_xlfn._xlws.FILTER(Rutas,_xlfn._xlws.FILTER($B$2:$B$10000,$B$2:$B$10000&lt;&gt;"")=VALUE(INDEX(IdClientes,MATCH(AMN2,Clientes,0))))</f>
        <v>#VALUE!</v>
      </c>
      <c r="AMO3" s="28" t="e" cm="1" vm="1">
        <f t="array" ref="AMO3">_xlfn._xlws.FILTER(Rutas,_xlfn._xlws.FILTER($B$2:$B$10000,$B$2:$B$10000&lt;&gt;"")=VALUE(INDEX(IdClientes,MATCH(AMO2,Clientes,0))))</f>
        <v>#VALUE!</v>
      </c>
      <c r="AMP3" s="28" t="e" cm="1" vm="1">
        <f t="array" ref="AMP3">_xlfn._xlws.FILTER(Rutas,_xlfn._xlws.FILTER($B$2:$B$10000,$B$2:$B$10000&lt;&gt;"")=VALUE(INDEX(IdClientes,MATCH(AMP2,Clientes,0))))</f>
        <v>#VALUE!</v>
      </c>
      <c r="AMQ3" s="28" t="e" cm="1" vm="1">
        <f t="array" ref="AMQ3">_xlfn._xlws.FILTER(Rutas,_xlfn._xlws.FILTER($B$2:$B$10000,$B$2:$B$10000&lt;&gt;"")=VALUE(INDEX(IdClientes,MATCH(AMQ2,Clientes,0))))</f>
        <v>#VALUE!</v>
      </c>
      <c r="AMR3" s="28" t="e" cm="1" vm="1">
        <f t="array" ref="AMR3">_xlfn._xlws.FILTER(Rutas,_xlfn._xlws.FILTER($B$2:$B$10000,$B$2:$B$10000&lt;&gt;"")=VALUE(INDEX(IdClientes,MATCH(AMR2,Clientes,0))))</f>
        <v>#VALUE!</v>
      </c>
      <c r="AMS3" s="28" t="e" cm="1" vm="1">
        <f t="array" ref="AMS3">_xlfn._xlws.FILTER(Rutas,_xlfn._xlws.FILTER($B$2:$B$10000,$B$2:$B$10000&lt;&gt;"")=VALUE(INDEX(IdClientes,MATCH(AMS2,Clientes,0))))</f>
        <v>#VALUE!</v>
      </c>
      <c r="AMT3" s="28" t="e" cm="1" vm="1">
        <f t="array" ref="AMT3">_xlfn._xlws.FILTER(Rutas,_xlfn._xlws.FILTER($B$2:$B$10000,$B$2:$B$10000&lt;&gt;"")=VALUE(INDEX(IdClientes,MATCH(AMT2,Clientes,0))))</f>
        <v>#VALUE!</v>
      </c>
      <c r="AMU3" s="28" t="e" cm="1" vm="1">
        <f t="array" ref="AMU3">_xlfn._xlws.FILTER(Rutas,_xlfn._xlws.FILTER($B$2:$B$10000,$B$2:$B$10000&lt;&gt;"")=VALUE(INDEX(IdClientes,MATCH(AMU2,Clientes,0))))</f>
        <v>#VALUE!</v>
      </c>
      <c r="AMV3" s="28" t="e" cm="1" vm="1">
        <f t="array" ref="AMV3">_xlfn._xlws.FILTER(Rutas,_xlfn._xlws.FILTER($B$2:$B$10000,$B$2:$B$10000&lt;&gt;"")=VALUE(INDEX(IdClientes,MATCH(AMV2,Clientes,0))))</f>
        <v>#VALUE!</v>
      </c>
      <c r="AMW3" s="28" t="e" cm="1" vm="1">
        <f t="array" ref="AMW3">_xlfn._xlws.FILTER(Rutas,_xlfn._xlws.FILTER($B$2:$B$10000,$B$2:$B$10000&lt;&gt;"")=VALUE(INDEX(IdClientes,MATCH(AMW2,Clientes,0))))</f>
        <v>#VALUE!</v>
      </c>
      <c r="AMX3" s="28" t="e" cm="1" vm="1">
        <f t="array" ref="AMX3">_xlfn._xlws.FILTER(Rutas,_xlfn._xlws.FILTER($B$2:$B$10000,$B$2:$B$10000&lt;&gt;"")=VALUE(INDEX(IdClientes,MATCH(AMX2,Clientes,0))))</f>
        <v>#VALUE!</v>
      </c>
      <c r="AMY3" s="28" t="e" cm="1" vm="1">
        <f t="array" ref="AMY3">_xlfn._xlws.FILTER(Rutas,_xlfn._xlws.FILTER($B$2:$B$10000,$B$2:$B$10000&lt;&gt;"")=VALUE(INDEX(IdClientes,MATCH(AMY2,Clientes,0))))</f>
        <v>#VALUE!</v>
      </c>
      <c r="AMZ3" s="28" t="e" cm="1" vm="1">
        <f t="array" ref="AMZ3">_xlfn._xlws.FILTER(Rutas,_xlfn._xlws.FILTER($B$2:$B$10000,$B$2:$B$10000&lt;&gt;"")=VALUE(INDEX(IdClientes,MATCH(AMZ2,Clientes,0))))</f>
        <v>#VALUE!</v>
      </c>
      <c r="ANA3" s="28" t="e" cm="1" vm="1">
        <f t="array" ref="ANA3">_xlfn._xlws.FILTER(Rutas,_xlfn._xlws.FILTER($B$2:$B$10000,$B$2:$B$10000&lt;&gt;"")=VALUE(INDEX(IdClientes,MATCH(ANA2,Clientes,0))))</f>
        <v>#VALUE!</v>
      </c>
      <c r="ANB3" s="28" t="e" cm="1" vm="1">
        <f t="array" ref="ANB3">_xlfn._xlws.FILTER(Rutas,_xlfn._xlws.FILTER($B$2:$B$10000,$B$2:$B$10000&lt;&gt;"")=VALUE(INDEX(IdClientes,MATCH(ANB2,Clientes,0))))</f>
        <v>#VALUE!</v>
      </c>
      <c r="ANC3" s="28" t="e" cm="1" vm="1">
        <f t="array" ref="ANC3">_xlfn._xlws.FILTER(Rutas,_xlfn._xlws.FILTER($B$2:$B$10000,$B$2:$B$10000&lt;&gt;"")=VALUE(INDEX(IdClientes,MATCH(ANC2,Clientes,0))))</f>
        <v>#VALUE!</v>
      </c>
      <c r="AND3" s="28" t="e" cm="1" vm="1">
        <f t="array" ref="AND3">_xlfn._xlws.FILTER(Rutas,_xlfn._xlws.FILTER($B$2:$B$10000,$B$2:$B$10000&lt;&gt;"")=VALUE(INDEX(IdClientes,MATCH(AND2,Clientes,0))))</f>
        <v>#VALUE!</v>
      </c>
      <c r="ANE3" s="28" t="e" cm="1" vm="1">
        <f t="array" ref="ANE3">_xlfn._xlws.FILTER(Rutas,_xlfn._xlws.FILTER($B$2:$B$10000,$B$2:$B$10000&lt;&gt;"")=VALUE(INDEX(IdClientes,MATCH(ANE2,Clientes,0))))</f>
        <v>#VALUE!</v>
      </c>
      <c r="ANF3" s="28" t="e" cm="1" vm="1">
        <f t="array" ref="ANF3">_xlfn._xlws.FILTER(Rutas,_xlfn._xlws.FILTER($B$2:$B$10000,$B$2:$B$10000&lt;&gt;"")=VALUE(INDEX(IdClientes,MATCH(ANF2,Clientes,0))))</f>
        <v>#VALUE!</v>
      </c>
      <c r="ANG3" s="28" t="e" cm="1" vm="1">
        <f t="array" ref="ANG3">_xlfn._xlws.FILTER(Rutas,_xlfn._xlws.FILTER($B$2:$B$10000,$B$2:$B$10000&lt;&gt;"")=VALUE(INDEX(IdClientes,MATCH(ANG2,Clientes,0))))</f>
        <v>#VALUE!</v>
      </c>
      <c r="ANH3" s="28" t="e" cm="1" vm="1">
        <f t="array" ref="ANH3">_xlfn._xlws.FILTER(Rutas,_xlfn._xlws.FILTER($B$2:$B$10000,$B$2:$B$10000&lt;&gt;"")=VALUE(INDEX(IdClientes,MATCH(ANH2,Clientes,0))))</f>
        <v>#VALUE!</v>
      </c>
      <c r="ANI3" s="28" t="e" cm="1" vm="1">
        <f t="array" ref="ANI3">_xlfn._xlws.FILTER(Rutas,_xlfn._xlws.FILTER($B$2:$B$10000,$B$2:$B$10000&lt;&gt;"")=VALUE(INDEX(IdClientes,MATCH(ANI2,Clientes,0))))</f>
        <v>#VALUE!</v>
      </c>
      <c r="ANJ3" s="28" t="e" cm="1" vm="1">
        <f t="array" ref="ANJ3">_xlfn._xlws.FILTER(Rutas,_xlfn._xlws.FILTER($B$2:$B$10000,$B$2:$B$10000&lt;&gt;"")=VALUE(INDEX(IdClientes,MATCH(ANJ2,Clientes,0))))</f>
        <v>#VALUE!</v>
      </c>
      <c r="ANK3" s="28" t="e" cm="1" vm="1">
        <f t="array" ref="ANK3">_xlfn._xlws.FILTER(Rutas,_xlfn._xlws.FILTER($B$2:$B$10000,$B$2:$B$10000&lt;&gt;"")=VALUE(INDEX(IdClientes,MATCH(ANK2,Clientes,0))))</f>
        <v>#VALUE!</v>
      </c>
      <c r="ANL3" s="28" t="e" cm="1" vm="1">
        <f t="array" ref="ANL3">_xlfn._xlws.FILTER(Rutas,_xlfn._xlws.FILTER($B$2:$B$10000,$B$2:$B$10000&lt;&gt;"")=VALUE(INDEX(IdClientes,MATCH(ANL2,Clientes,0))))</f>
        <v>#VALUE!</v>
      </c>
      <c r="ANM3" s="28" t="e" cm="1" vm="1">
        <f t="array" ref="ANM3">_xlfn._xlws.FILTER(Rutas,_xlfn._xlws.FILTER($B$2:$B$10000,$B$2:$B$10000&lt;&gt;"")=VALUE(INDEX(IdClientes,MATCH(ANM2,Clientes,0))))</f>
        <v>#VALUE!</v>
      </c>
      <c r="ANN3" s="28" t="e" cm="1" vm="1">
        <f t="array" ref="ANN3">_xlfn._xlws.FILTER(Rutas,_xlfn._xlws.FILTER($B$2:$B$10000,$B$2:$B$10000&lt;&gt;"")=VALUE(INDEX(IdClientes,MATCH(ANN2,Clientes,0))))</f>
        <v>#VALUE!</v>
      </c>
      <c r="ANO3" s="28" t="e" cm="1" vm="1">
        <f t="array" ref="ANO3">_xlfn._xlws.FILTER(Rutas,_xlfn._xlws.FILTER($B$2:$B$10000,$B$2:$B$10000&lt;&gt;"")=VALUE(INDEX(IdClientes,MATCH(ANO2,Clientes,0))))</f>
        <v>#VALUE!</v>
      </c>
      <c r="ANP3" s="28" t="e" cm="1" vm="1">
        <f t="array" ref="ANP3">_xlfn._xlws.FILTER(Rutas,_xlfn._xlws.FILTER($B$2:$B$10000,$B$2:$B$10000&lt;&gt;"")=VALUE(INDEX(IdClientes,MATCH(ANP2,Clientes,0))))</f>
        <v>#VALUE!</v>
      </c>
      <c r="ANQ3" s="28" t="e" cm="1" vm="1">
        <f t="array" ref="ANQ3">_xlfn._xlws.FILTER(Rutas,_xlfn._xlws.FILTER($B$2:$B$10000,$B$2:$B$10000&lt;&gt;"")=VALUE(INDEX(IdClientes,MATCH(ANQ2,Clientes,0))))</f>
        <v>#VALUE!</v>
      </c>
      <c r="ANR3" s="28" t="e" cm="1" vm="1">
        <f t="array" ref="ANR3">_xlfn._xlws.FILTER(Rutas,_xlfn._xlws.FILTER($B$2:$B$10000,$B$2:$B$10000&lt;&gt;"")=VALUE(INDEX(IdClientes,MATCH(ANR2,Clientes,0))))</f>
        <v>#VALUE!</v>
      </c>
      <c r="ANS3" s="28" t="e" cm="1" vm="1">
        <f t="array" ref="ANS3">_xlfn._xlws.FILTER(Rutas,_xlfn._xlws.FILTER($B$2:$B$10000,$B$2:$B$10000&lt;&gt;"")=VALUE(INDEX(IdClientes,MATCH(ANS2,Clientes,0))))</f>
        <v>#VALUE!</v>
      </c>
      <c r="ANT3" s="28" t="e" cm="1" vm="1">
        <f t="array" ref="ANT3">_xlfn._xlws.FILTER(Rutas,_xlfn._xlws.FILTER($B$2:$B$10000,$B$2:$B$10000&lt;&gt;"")=VALUE(INDEX(IdClientes,MATCH(ANT2,Clientes,0))))</f>
        <v>#VALUE!</v>
      </c>
      <c r="ANU3" s="28" t="e" cm="1" vm="1">
        <f t="array" ref="ANU3">_xlfn._xlws.FILTER(Rutas,_xlfn._xlws.FILTER($B$2:$B$10000,$B$2:$B$10000&lt;&gt;"")=VALUE(INDEX(IdClientes,MATCH(ANU2,Clientes,0))))</f>
        <v>#VALUE!</v>
      </c>
      <c r="ANV3" s="28" t="e" cm="1" vm="1">
        <f t="array" ref="ANV3">_xlfn._xlws.FILTER(Rutas,_xlfn._xlws.FILTER($B$2:$B$10000,$B$2:$B$10000&lt;&gt;"")=VALUE(INDEX(IdClientes,MATCH(ANV2,Clientes,0))))</f>
        <v>#VALUE!</v>
      </c>
      <c r="ANW3" s="28" t="e" cm="1" vm="1">
        <f t="array" ref="ANW3">_xlfn._xlws.FILTER(Rutas,_xlfn._xlws.FILTER($B$2:$B$10000,$B$2:$B$10000&lt;&gt;"")=VALUE(INDEX(IdClientes,MATCH(ANW2,Clientes,0))))</f>
        <v>#VALUE!</v>
      </c>
      <c r="ANX3" s="28" t="e" cm="1" vm="1">
        <f t="array" ref="ANX3">_xlfn._xlws.FILTER(Rutas,_xlfn._xlws.FILTER($B$2:$B$10000,$B$2:$B$10000&lt;&gt;"")=VALUE(INDEX(IdClientes,MATCH(ANX2,Clientes,0))))</f>
        <v>#VALUE!</v>
      </c>
      <c r="ANY3" s="28" t="e" cm="1" vm="1">
        <f t="array" ref="ANY3">_xlfn._xlws.FILTER(Rutas,_xlfn._xlws.FILTER($B$2:$B$10000,$B$2:$B$10000&lt;&gt;"")=VALUE(INDEX(IdClientes,MATCH(ANY2,Clientes,0))))</f>
        <v>#VALUE!</v>
      </c>
      <c r="ANZ3" s="28" t="e" cm="1" vm="1">
        <f t="array" ref="ANZ3">_xlfn._xlws.FILTER(Rutas,_xlfn._xlws.FILTER($B$2:$B$10000,$B$2:$B$10000&lt;&gt;"")=VALUE(INDEX(IdClientes,MATCH(ANZ2,Clientes,0))))</f>
        <v>#VALUE!</v>
      </c>
      <c r="AOA3" s="28" t="e" cm="1" vm="1">
        <f t="array" ref="AOA3">_xlfn._xlws.FILTER(Rutas,_xlfn._xlws.FILTER($B$2:$B$10000,$B$2:$B$10000&lt;&gt;"")=VALUE(INDEX(IdClientes,MATCH(AOA2,Clientes,0))))</f>
        <v>#VALUE!</v>
      </c>
      <c r="AOB3" s="28" t="e" cm="1" vm="1">
        <f t="array" ref="AOB3">_xlfn._xlws.FILTER(Rutas,_xlfn._xlws.FILTER($B$2:$B$10000,$B$2:$B$10000&lt;&gt;"")=VALUE(INDEX(IdClientes,MATCH(AOB2,Clientes,0))))</f>
        <v>#VALUE!</v>
      </c>
      <c r="AOC3" s="28" t="e" cm="1" vm="1">
        <f t="array" ref="AOC3">_xlfn._xlws.FILTER(Rutas,_xlfn._xlws.FILTER($B$2:$B$10000,$B$2:$B$10000&lt;&gt;"")=VALUE(INDEX(IdClientes,MATCH(AOC2,Clientes,0))))</f>
        <v>#VALUE!</v>
      </c>
      <c r="AOD3" s="28" t="e" cm="1" vm="1">
        <f t="array" ref="AOD3">_xlfn._xlws.FILTER(Rutas,_xlfn._xlws.FILTER($B$2:$B$10000,$B$2:$B$10000&lt;&gt;"")=VALUE(INDEX(IdClientes,MATCH(AOD2,Clientes,0))))</f>
        <v>#VALUE!</v>
      </c>
      <c r="AOE3" s="28" t="e" cm="1" vm="1">
        <f t="array" ref="AOE3">_xlfn._xlws.FILTER(Rutas,_xlfn._xlws.FILTER($B$2:$B$10000,$B$2:$B$10000&lt;&gt;"")=VALUE(INDEX(IdClientes,MATCH(AOE2,Clientes,0))))</f>
        <v>#VALUE!</v>
      </c>
      <c r="AOF3" s="28" t="e" cm="1" vm="1">
        <f t="array" ref="AOF3">_xlfn._xlws.FILTER(Rutas,_xlfn._xlws.FILTER($B$2:$B$10000,$B$2:$B$10000&lt;&gt;"")=VALUE(INDEX(IdClientes,MATCH(AOF2,Clientes,0))))</f>
        <v>#VALUE!</v>
      </c>
      <c r="AOG3" s="28" t="e" cm="1" vm="1">
        <f t="array" ref="AOG3">_xlfn._xlws.FILTER(Rutas,_xlfn._xlws.FILTER($B$2:$B$10000,$B$2:$B$10000&lt;&gt;"")=VALUE(INDEX(IdClientes,MATCH(AOG2,Clientes,0))))</f>
        <v>#VALUE!</v>
      </c>
      <c r="AOH3" s="28" t="e" cm="1" vm="1">
        <f t="array" ref="AOH3">_xlfn._xlws.FILTER(Rutas,_xlfn._xlws.FILTER($B$2:$B$10000,$B$2:$B$10000&lt;&gt;"")=VALUE(INDEX(IdClientes,MATCH(AOH2,Clientes,0))))</f>
        <v>#VALUE!</v>
      </c>
      <c r="AOI3" s="28" t="e" cm="1" vm="1">
        <f t="array" ref="AOI3">_xlfn._xlws.FILTER(Rutas,_xlfn._xlws.FILTER($B$2:$B$10000,$B$2:$B$10000&lt;&gt;"")=VALUE(INDEX(IdClientes,MATCH(AOI2,Clientes,0))))</f>
        <v>#VALUE!</v>
      </c>
      <c r="AOJ3" s="28" t="e" cm="1" vm="1">
        <f t="array" ref="AOJ3">_xlfn._xlws.FILTER(Rutas,_xlfn._xlws.FILTER($B$2:$B$10000,$B$2:$B$10000&lt;&gt;"")=VALUE(INDEX(IdClientes,MATCH(AOJ2,Clientes,0))))</f>
        <v>#VALUE!</v>
      </c>
      <c r="AOK3" s="28" t="e" cm="1" vm="1">
        <f t="array" ref="AOK3">_xlfn._xlws.FILTER(Rutas,_xlfn._xlws.FILTER($B$2:$B$10000,$B$2:$B$10000&lt;&gt;"")=VALUE(INDEX(IdClientes,MATCH(AOK2,Clientes,0))))</f>
        <v>#VALUE!</v>
      </c>
      <c r="AOL3" s="28" t="e" cm="1" vm="1">
        <f t="array" ref="AOL3">_xlfn._xlws.FILTER(Rutas,_xlfn._xlws.FILTER($B$2:$B$10000,$B$2:$B$10000&lt;&gt;"")=VALUE(INDEX(IdClientes,MATCH(AOL2,Clientes,0))))</f>
        <v>#VALUE!</v>
      </c>
      <c r="AOM3" s="28" t="e" cm="1" vm="1">
        <f t="array" ref="AOM3">_xlfn._xlws.FILTER(Rutas,_xlfn._xlws.FILTER($B$2:$B$10000,$B$2:$B$10000&lt;&gt;"")=VALUE(INDEX(IdClientes,MATCH(AOM2,Clientes,0))))</f>
        <v>#VALUE!</v>
      </c>
      <c r="AON3" s="28" t="e" cm="1" vm="1">
        <f t="array" ref="AON3">_xlfn._xlws.FILTER(Rutas,_xlfn._xlws.FILTER($B$2:$B$10000,$B$2:$B$10000&lt;&gt;"")=VALUE(INDEX(IdClientes,MATCH(AON2,Clientes,0))))</f>
        <v>#VALUE!</v>
      </c>
      <c r="AOO3" s="28" t="e" cm="1" vm="1">
        <f t="array" ref="AOO3">_xlfn._xlws.FILTER(Rutas,_xlfn._xlws.FILTER($B$2:$B$10000,$B$2:$B$10000&lt;&gt;"")=VALUE(INDEX(IdClientes,MATCH(AOO2,Clientes,0))))</f>
        <v>#VALUE!</v>
      </c>
      <c r="AOP3" s="28" t="e" cm="1" vm="1">
        <f t="array" ref="AOP3">_xlfn._xlws.FILTER(Rutas,_xlfn._xlws.FILTER($B$2:$B$10000,$B$2:$B$10000&lt;&gt;"")=VALUE(INDEX(IdClientes,MATCH(AOP2,Clientes,0))))</f>
        <v>#VALUE!</v>
      </c>
      <c r="AOQ3" s="28" t="e" cm="1" vm="1">
        <f t="array" ref="AOQ3">_xlfn._xlws.FILTER(Rutas,_xlfn._xlws.FILTER($B$2:$B$10000,$B$2:$B$10000&lt;&gt;"")=VALUE(INDEX(IdClientes,MATCH(AOQ2,Clientes,0))))</f>
        <v>#VALUE!</v>
      </c>
      <c r="AOR3" s="28" t="e" cm="1" vm="1">
        <f t="array" ref="AOR3">_xlfn._xlws.FILTER(Rutas,_xlfn._xlws.FILTER($B$2:$B$10000,$B$2:$B$10000&lt;&gt;"")=VALUE(INDEX(IdClientes,MATCH(AOR2,Clientes,0))))</f>
        <v>#VALUE!</v>
      </c>
      <c r="AOS3" s="28" t="e" cm="1" vm="1">
        <f t="array" ref="AOS3">_xlfn._xlws.FILTER(Rutas,_xlfn._xlws.FILTER($B$2:$B$10000,$B$2:$B$10000&lt;&gt;"")=VALUE(INDEX(IdClientes,MATCH(AOS2,Clientes,0))))</f>
        <v>#VALUE!</v>
      </c>
      <c r="AOT3" s="28" t="e" cm="1" vm="1">
        <f t="array" ref="AOT3">_xlfn._xlws.FILTER(Rutas,_xlfn._xlws.FILTER($B$2:$B$10000,$B$2:$B$10000&lt;&gt;"")=VALUE(INDEX(IdClientes,MATCH(AOT2,Clientes,0))))</f>
        <v>#VALUE!</v>
      </c>
      <c r="AOU3" s="28" t="e" cm="1" vm="1">
        <f t="array" ref="AOU3">_xlfn._xlws.FILTER(Rutas,_xlfn._xlws.FILTER($B$2:$B$10000,$B$2:$B$10000&lt;&gt;"")=VALUE(INDEX(IdClientes,MATCH(AOU2,Clientes,0))))</f>
        <v>#VALUE!</v>
      </c>
      <c r="AOV3" s="28" t="e" cm="1" vm="1">
        <f t="array" ref="AOV3">_xlfn._xlws.FILTER(Rutas,_xlfn._xlws.FILTER($B$2:$B$10000,$B$2:$B$10000&lt;&gt;"")=VALUE(INDEX(IdClientes,MATCH(AOV2,Clientes,0))))</f>
        <v>#VALUE!</v>
      </c>
      <c r="AOW3" s="28" t="e" cm="1" vm="1">
        <f t="array" ref="AOW3">_xlfn._xlws.FILTER(Rutas,_xlfn._xlws.FILTER($B$2:$B$10000,$B$2:$B$10000&lt;&gt;"")=VALUE(INDEX(IdClientes,MATCH(AOW2,Clientes,0))))</f>
        <v>#VALUE!</v>
      </c>
      <c r="AOX3" s="28" t="e" cm="1" vm="1">
        <f t="array" ref="AOX3">_xlfn._xlws.FILTER(Rutas,_xlfn._xlws.FILTER($B$2:$B$10000,$B$2:$B$10000&lt;&gt;"")=VALUE(INDEX(IdClientes,MATCH(AOX2,Clientes,0))))</f>
        <v>#VALUE!</v>
      </c>
      <c r="AOY3" s="28" t="e" cm="1" vm="1">
        <f t="array" ref="AOY3">_xlfn._xlws.FILTER(Rutas,_xlfn._xlws.FILTER($B$2:$B$10000,$B$2:$B$10000&lt;&gt;"")=VALUE(INDEX(IdClientes,MATCH(AOY2,Clientes,0))))</f>
        <v>#VALUE!</v>
      </c>
      <c r="AOZ3" s="28" t="e" cm="1" vm="1">
        <f t="array" ref="AOZ3">_xlfn._xlws.FILTER(Rutas,_xlfn._xlws.FILTER($B$2:$B$10000,$B$2:$B$10000&lt;&gt;"")=VALUE(INDEX(IdClientes,MATCH(AOZ2,Clientes,0))))</f>
        <v>#VALUE!</v>
      </c>
      <c r="APA3" s="28" t="e" cm="1" vm="1">
        <f t="array" ref="APA3">_xlfn._xlws.FILTER(Rutas,_xlfn._xlws.FILTER($B$2:$B$10000,$B$2:$B$10000&lt;&gt;"")=VALUE(INDEX(IdClientes,MATCH(APA2,Clientes,0))))</f>
        <v>#VALUE!</v>
      </c>
      <c r="APB3" s="28" t="e" cm="1" vm="1">
        <f t="array" ref="APB3">_xlfn._xlws.FILTER(Rutas,_xlfn._xlws.FILTER($B$2:$B$10000,$B$2:$B$10000&lt;&gt;"")=VALUE(INDEX(IdClientes,MATCH(APB2,Clientes,0))))</f>
        <v>#VALUE!</v>
      </c>
      <c r="APC3" s="28" t="e" cm="1" vm="1">
        <f t="array" ref="APC3">_xlfn._xlws.FILTER(Rutas,_xlfn._xlws.FILTER($B$2:$B$10000,$B$2:$B$10000&lt;&gt;"")=VALUE(INDEX(IdClientes,MATCH(APC2,Clientes,0))))</f>
        <v>#VALUE!</v>
      </c>
      <c r="APD3" s="28" t="e" cm="1" vm="1">
        <f t="array" ref="APD3">_xlfn._xlws.FILTER(Rutas,_xlfn._xlws.FILTER($B$2:$B$10000,$B$2:$B$10000&lt;&gt;"")=VALUE(INDEX(IdClientes,MATCH(APD2,Clientes,0))))</f>
        <v>#VALUE!</v>
      </c>
      <c r="APE3" s="28" t="e" cm="1" vm="1">
        <f t="array" ref="APE3">_xlfn._xlws.FILTER(Rutas,_xlfn._xlws.FILTER($B$2:$B$10000,$B$2:$B$10000&lt;&gt;"")=VALUE(INDEX(IdClientes,MATCH(APE2,Clientes,0))))</f>
        <v>#VALUE!</v>
      </c>
      <c r="APF3" s="28" t="e" cm="1" vm="1">
        <f t="array" ref="APF3">_xlfn._xlws.FILTER(Rutas,_xlfn._xlws.FILTER($B$2:$B$10000,$B$2:$B$10000&lt;&gt;"")=VALUE(INDEX(IdClientes,MATCH(APF2,Clientes,0))))</f>
        <v>#VALUE!</v>
      </c>
      <c r="APG3" s="28" t="e" cm="1" vm="1">
        <f t="array" ref="APG3">_xlfn._xlws.FILTER(Rutas,_xlfn._xlws.FILTER($B$2:$B$10000,$B$2:$B$10000&lt;&gt;"")=VALUE(INDEX(IdClientes,MATCH(APG2,Clientes,0))))</f>
        <v>#VALUE!</v>
      </c>
      <c r="APH3" s="28" t="e" cm="1" vm="1">
        <f t="array" ref="APH3">_xlfn._xlws.FILTER(Rutas,_xlfn._xlws.FILTER($B$2:$B$10000,$B$2:$B$10000&lt;&gt;"")=VALUE(INDEX(IdClientes,MATCH(APH2,Clientes,0))))</f>
        <v>#VALUE!</v>
      </c>
      <c r="API3" s="28" t="e" cm="1" vm="1">
        <f t="array" ref="API3">_xlfn._xlws.FILTER(Rutas,_xlfn._xlws.FILTER($B$2:$B$10000,$B$2:$B$10000&lt;&gt;"")=VALUE(INDEX(IdClientes,MATCH(API2,Clientes,0))))</f>
        <v>#VALUE!</v>
      </c>
      <c r="APJ3" s="28" t="e" cm="1" vm="1">
        <f t="array" ref="APJ3">_xlfn._xlws.FILTER(Rutas,_xlfn._xlws.FILTER($B$2:$B$10000,$B$2:$B$10000&lt;&gt;"")=VALUE(INDEX(IdClientes,MATCH(APJ2,Clientes,0))))</f>
        <v>#VALUE!</v>
      </c>
      <c r="APK3" s="28" t="e" cm="1" vm="1">
        <f t="array" ref="APK3">_xlfn._xlws.FILTER(Rutas,_xlfn._xlws.FILTER($B$2:$B$10000,$B$2:$B$10000&lt;&gt;"")=VALUE(INDEX(IdClientes,MATCH(APK2,Clientes,0))))</f>
        <v>#VALUE!</v>
      </c>
      <c r="APL3" s="28" t="e" cm="1" vm="1">
        <f t="array" ref="APL3">_xlfn._xlws.FILTER(Rutas,_xlfn._xlws.FILTER($B$2:$B$10000,$B$2:$B$10000&lt;&gt;"")=VALUE(INDEX(IdClientes,MATCH(APL2,Clientes,0))))</f>
        <v>#VALUE!</v>
      </c>
      <c r="APM3" s="28" t="e" cm="1" vm="1">
        <f t="array" ref="APM3">_xlfn._xlws.FILTER(Rutas,_xlfn._xlws.FILTER($B$2:$B$10000,$B$2:$B$10000&lt;&gt;"")=VALUE(INDEX(IdClientes,MATCH(APM2,Clientes,0))))</f>
        <v>#VALUE!</v>
      </c>
      <c r="APN3" s="28" t="e" cm="1" vm="1">
        <f t="array" ref="APN3">_xlfn._xlws.FILTER(Rutas,_xlfn._xlws.FILTER($B$2:$B$10000,$B$2:$B$10000&lt;&gt;"")=VALUE(INDEX(IdClientes,MATCH(APN2,Clientes,0))))</f>
        <v>#VALUE!</v>
      </c>
      <c r="APO3" s="28" t="e" cm="1" vm="1">
        <f t="array" ref="APO3">_xlfn._xlws.FILTER(Rutas,_xlfn._xlws.FILTER($B$2:$B$10000,$B$2:$B$10000&lt;&gt;"")=VALUE(INDEX(IdClientes,MATCH(APO2,Clientes,0))))</f>
        <v>#VALUE!</v>
      </c>
      <c r="APP3" s="28" t="e" cm="1" vm="1">
        <f t="array" ref="APP3">_xlfn._xlws.FILTER(Rutas,_xlfn._xlws.FILTER($B$2:$B$10000,$B$2:$B$10000&lt;&gt;"")=VALUE(INDEX(IdClientes,MATCH(APP2,Clientes,0))))</f>
        <v>#VALUE!</v>
      </c>
      <c r="APQ3" s="28" t="e" cm="1" vm="1">
        <f t="array" ref="APQ3">_xlfn._xlws.FILTER(Rutas,_xlfn._xlws.FILTER($B$2:$B$10000,$B$2:$B$10000&lt;&gt;"")=VALUE(INDEX(IdClientes,MATCH(APQ2,Clientes,0))))</f>
        <v>#VALUE!</v>
      </c>
      <c r="APR3" s="28" t="e" cm="1" vm="1">
        <f t="array" ref="APR3">_xlfn._xlws.FILTER(Rutas,_xlfn._xlws.FILTER($B$2:$B$10000,$B$2:$B$10000&lt;&gt;"")=VALUE(INDEX(IdClientes,MATCH(APR2,Clientes,0))))</f>
        <v>#VALUE!</v>
      </c>
      <c r="APS3" s="28" t="e" cm="1" vm="1">
        <f t="array" ref="APS3">_xlfn._xlws.FILTER(Rutas,_xlfn._xlws.FILTER($B$2:$B$10000,$B$2:$B$10000&lt;&gt;"")=VALUE(INDEX(IdClientes,MATCH(APS2,Clientes,0))))</f>
        <v>#VALUE!</v>
      </c>
      <c r="APT3" s="28" t="e" cm="1" vm="1">
        <f t="array" ref="APT3">_xlfn._xlws.FILTER(Rutas,_xlfn._xlws.FILTER($B$2:$B$10000,$B$2:$B$10000&lt;&gt;"")=VALUE(INDEX(IdClientes,MATCH(APT2,Clientes,0))))</f>
        <v>#VALUE!</v>
      </c>
      <c r="APU3" s="28" t="e" cm="1" vm="1">
        <f t="array" ref="APU3">_xlfn._xlws.FILTER(Rutas,_xlfn._xlws.FILTER($B$2:$B$10000,$B$2:$B$10000&lt;&gt;"")=VALUE(INDEX(IdClientes,MATCH(APU2,Clientes,0))))</f>
        <v>#VALUE!</v>
      </c>
      <c r="APV3" s="28" t="e" cm="1" vm="1">
        <f t="array" ref="APV3">_xlfn._xlws.FILTER(Rutas,_xlfn._xlws.FILTER($B$2:$B$10000,$B$2:$B$10000&lt;&gt;"")=VALUE(INDEX(IdClientes,MATCH(APV2,Clientes,0))))</f>
        <v>#VALUE!</v>
      </c>
      <c r="APW3" s="28" t="e" cm="1" vm="1">
        <f t="array" ref="APW3">_xlfn._xlws.FILTER(Rutas,_xlfn._xlws.FILTER($B$2:$B$10000,$B$2:$B$10000&lt;&gt;"")=VALUE(INDEX(IdClientes,MATCH(APW2,Clientes,0))))</f>
        <v>#VALUE!</v>
      </c>
      <c r="APX3" s="28" t="e" cm="1" vm="1">
        <f t="array" ref="APX3">_xlfn._xlws.FILTER(Rutas,_xlfn._xlws.FILTER($B$2:$B$10000,$B$2:$B$10000&lt;&gt;"")=VALUE(INDEX(IdClientes,MATCH(APX2,Clientes,0))))</f>
        <v>#VALUE!</v>
      </c>
      <c r="APY3" s="28" t="e" cm="1" vm="1">
        <f t="array" ref="APY3">_xlfn._xlws.FILTER(Rutas,_xlfn._xlws.FILTER($B$2:$B$10000,$B$2:$B$10000&lt;&gt;"")=VALUE(INDEX(IdClientes,MATCH(APY2,Clientes,0))))</f>
        <v>#VALUE!</v>
      </c>
      <c r="APZ3" s="28" t="e" cm="1" vm="1">
        <f t="array" ref="APZ3">_xlfn._xlws.FILTER(Rutas,_xlfn._xlws.FILTER($B$2:$B$10000,$B$2:$B$10000&lt;&gt;"")=VALUE(INDEX(IdClientes,MATCH(APZ2,Clientes,0))))</f>
        <v>#VALUE!</v>
      </c>
      <c r="AQA3" s="28" t="e" cm="1" vm="1">
        <f t="array" ref="AQA3">_xlfn._xlws.FILTER(Rutas,_xlfn._xlws.FILTER($B$2:$B$10000,$B$2:$B$10000&lt;&gt;"")=VALUE(INDEX(IdClientes,MATCH(AQA2,Clientes,0))))</f>
        <v>#VALUE!</v>
      </c>
      <c r="AQB3" s="28" t="e" cm="1" vm="1">
        <f t="array" ref="AQB3">_xlfn._xlws.FILTER(Rutas,_xlfn._xlws.FILTER($B$2:$B$10000,$B$2:$B$10000&lt;&gt;"")=VALUE(INDEX(IdClientes,MATCH(AQB2,Clientes,0))))</f>
        <v>#VALUE!</v>
      </c>
      <c r="AQC3" s="28" t="e" cm="1" vm="1">
        <f t="array" ref="AQC3">_xlfn._xlws.FILTER(Rutas,_xlfn._xlws.FILTER($B$2:$B$10000,$B$2:$B$10000&lt;&gt;"")=VALUE(INDEX(IdClientes,MATCH(AQC2,Clientes,0))))</f>
        <v>#VALUE!</v>
      </c>
      <c r="AQD3" s="28" t="e" cm="1" vm="1">
        <f t="array" ref="AQD3">_xlfn._xlws.FILTER(Rutas,_xlfn._xlws.FILTER($B$2:$B$10000,$B$2:$B$10000&lt;&gt;"")=VALUE(INDEX(IdClientes,MATCH(AQD2,Clientes,0))))</f>
        <v>#VALUE!</v>
      </c>
      <c r="AQE3" s="28" t="e" cm="1" vm="1">
        <f t="array" ref="AQE3">_xlfn._xlws.FILTER(Rutas,_xlfn._xlws.FILTER($B$2:$B$10000,$B$2:$B$10000&lt;&gt;"")=VALUE(INDEX(IdClientes,MATCH(AQE2,Clientes,0))))</f>
        <v>#VALUE!</v>
      </c>
      <c r="AQF3" s="28" t="e" cm="1" vm="1">
        <f t="array" ref="AQF3">_xlfn._xlws.FILTER(Rutas,_xlfn._xlws.FILTER($B$2:$B$10000,$B$2:$B$10000&lt;&gt;"")=VALUE(INDEX(IdClientes,MATCH(AQF2,Clientes,0))))</f>
        <v>#VALUE!</v>
      </c>
      <c r="AQG3" s="28" t="e" cm="1" vm="1">
        <f t="array" ref="AQG3">_xlfn._xlws.FILTER(Rutas,_xlfn._xlws.FILTER($B$2:$B$10000,$B$2:$B$10000&lt;&gt;"")=VALUE(INDEX(IdClientes,MATCH(AQG2,Clientes,0))))</f>
        <v>#VALUE!</v>
      </c>
      <c r="AQH3" s="28" t="e" cm="1" vm="1">
        <f t="array" ref="AQH3">_xlfn._xlws.FILTER(Rutas,_xlfn._xlws.FILTER($B$2:$B$10000,$B$2:$B$10000&lt;&gt;"")=VALUE(INDEX(IdClientes,MATCH(AQH2,Clientes,0))))</f>
        <v>#VALUE!</v>
      </c>
      <c r="AQI3" s="28" t="e" cm="1" vm="1">
        <f t="array" ref="AQI3">_xlfn._xlws.FILTER(Rutas,_xlfn._xlws.FILTER($B$2:$B$10000,$B$2:$B$10000&lt;&gt;"")=VALUE(INDEX(IdClientes,MATCH(AQI2,Clientes,0))))</f>
        <v>#VALUE!</v>
      </c>
      <c r="AQJ3" s="28" t="e" cm="1" vm="1">
        <f t="array" ref="AQJ3">_xlfn._xlws.FILTER(Rutas,_xlfn._xlws.FILTER($B$2:$B$10000,$B$2:$B$10000&lt;&gt;"")=VALUE(INDEX(IdClientes,MATCH(AQJ2,Clientes,0))))</f>
        <v>#VALUE!</v>
      </c>
      <c r="AQK3" s="28" t="e" cm="1" vm="1">
        <f t="array" ref="AQK3">_xlfn._xlws.FILTER(Rutas,_xlfn._xlws.FILTER($B$2:$B$10000,$B$2:$B$10000&lt;&gt;"")=VALUE(INDEX(IdClientes,MATCH(AQK2,Clientes,0))))</f>
        <v>#VALUE!</v>
      </c>
      <c r="AQL3" s="28" t="e" cm="1" vm="1">
        <f t="array" ref="AQL3">_xlfn._xlws.FILTER(Rutas,_xlfn._xlws.FILTER($B$2:$B$10000,$B$2:$B$10000&lt;&gt;"")=VALUE(INDEX(IdClientes,MATCH(AQL2,Clientes,0))))</f>
        <v>#VALUE!</v>
      </c>
      <c r="AQM3" s="28" t="e" cm="1" vm="1">
        <f t="array" ref="AQM3">_xlfn._xlws.FILTER(Rutas,_xlfn._xlws.FILTER($B$2:$B$10000,$B$2:$B$10000&lt;&gt;"")=VALUE(INDEX(IdClientes,MATCH(AQM2,Clientes,0))))</f>
        <v>#VALUE!</v>
      </c>
      <c r="AQN3" s="28" t="e" cm="1" vm="1">
        <f t="array" ref="AQN3">_xlfn._xlws.FILTER(Rutas,_xlfn._xlws.FILTER($B$2:$B$10000,$B$2:$B$10000&lt;&gt;"")=VALUE(INDEX(IdClientes,MATCH(AQN2,Clientes,0))))</f>
        <v>#VALUE!</v>
      </c>
      <c r="AQO3" s="28" t="e" cm="1" vm="1">
        <f t="array" ref="AQO3">_xlfn._xlws.FILTER(Rutas,_xlfn._xlws.FILTER($B$2:$B$10000,$B$2:$B$10000&lt;&gt;"")=VALUE(INDEX(IdClientes,MATCH(AQO2,Clientes,0))))</f>
        <v>#VALUE!</v>
      </c>
      <c r="AQP3" s="28" t="e" cm="1" vm="1">
        <f t="array" ref="AQP3">_xlfn._xlws.FILTER(Rutas,_xlfn._xlws.FILTER($B$2:$B$10000,$B$2:$B$10000&lt;&gt;"")=VALUE(INDEX(IdClientes,MATCH(AQP2,Clientes,0))))</f>
        <v>#VALUE!</v>
      </c>
      <c r="AQQ3" s="28" t="e" cm="1" vm="1">
        <f t="array" ref="AQQ3">_xlfn._xlws.FILTER(Rutas,_xlfn._xlws.FILTER($B$2:$B$10000,$B$2:$B$10000&lt;&gt;"")=VALUE(INDEX(IdClientes,MATCH(AQQ2,Clientes,0))))</f>
        <v>#VALUE!</v>
      </c>
      <c r="AQR3" s="28" t="e" cm="1" vm="1">
        <f t="array" ref="AQR3">_xlfn._xlws.FILTER(Rutas,_xlfn._xlws.FILTER($B$2:$B$10000,$B$2:$B$10000&lt;&gt;"")=VALUE(INDEX(IdClientes,MATCH(AQR2,Clientes,0))))</f>
        <v>#VALUE!</v>
      </c>
      <c r="AQS3" s="28" t="e" cm="1" vm="1">
        <f t="array" ref="AQS3">_xlfn._xlws.FILTER(Rutas,_xlfn._xlws.FILTER($B$2:$B$10000,$B$2:$B$10000&lt;&gt;"")=VALUE(INDEX(IdClientes,MATCH(AQS2,Clientes,0))))</f>
        <v>#VALUE!</v>
      </c>
      <c r="AQT3" s="28" t="e" cm="1" vm="1">
        <f t="array" ref="AQT3">_xlfn._xlws.FILTER(Rutas,_xlfn._xlws.FILTER($B$2:$B$10000,$B$2:$B$10000&lt;&gt;"")=VALUE(INDEX(IdClientes,MATCH(AQT2,Clientes,0))))</f>
        <v>#VALUE!</v>
      </c>
      <c r="AQU3" s="28" t="e" cm="1" vm="1">
        <f t="array" ref="AQU3">_xlfn._xlws.FILTER(Rutas,_xlfn._xlws.FILTER($B$2:$B$10000,$B$2:$B$10000&lt;&gt;"")=VALUE(INDEX(IdClientes,MATCH(AQU2,Clientes,0))))</f>
        <v>#VALUE!</v>
      </c>
      <c r="AQV3" s="28" t="e" cm="1" vm="1">
        <f t="array" ref="AQV3">_xlfn._xlws.FILTER(Rutas,_xlfn._xlws.FILTER($B$2:$B$10000,$B$2:$B$10000&lt;&gt;"")=VALUE(INDEX(IdClientes,MATCH(AQV2,Clientes,0))))</f>
        <v>#VALUE!</v>
      </c>
      <c r="AQW3" s="28" t="e" cm="1" vm="1">
        <f t="array" ref="AQW3">_xlfn._xlws.FILTER(Rutas,_xlfn._xlws.FILTER($B$2:$B$10000,$B$2:$B$10000&lt;&gt;"")=VALUE(INDEX(IdClientes,MATCH(AQW2,Clientes,0))))</f>
        <v>#VALUE!</v>
      </c>
      <c r="AQX3" s="28" t="e" cm="1" vm="1">
        <f t="array" ref="AQX3">_xlfn._xlws.FILTER(Rutas,_xlfn._xlws.FILTER($B$2:$B$10000,$B$2:$B$10000&lt;&gt;"")=VALUE(INDEX(IdClientes,MATCH(AQX2,Clientes,0))))</f>
        <v>#VALUE!</v>
      </c>
      <c r="AQY3" s="28" t="e" cm="1" vm="1">
        <f t="array" ref="AQY3">_xlfn._xlws.FILTER(Rutas,_xlfn._xlws.FILTER($B$2:$B$10000,$B$2:$B$10000&lt;&gt;"")=VALUE(INDEX(IdClientes,MATCH(AQY2,Clientes,0))))</f>
        <v>#VALUE!</v>
      </c>
      <c r="AQZ3" s="28" t="e" cm="1" vm="1">
        <f t="array" ref="AQZ3">_xlfn._xlws.FILTER(Rutas,_xlfn._xlws.FILTER($B$2:$B$10000,$B$2:$B$10000&lt;&gt;"")=VALUE(INDEX(IdClientes,MATCH(AQZ2,Clientes,0))))</f>
        <v>#VALUE!</v>
      </c>
      <c r="ARA3" s="28" t="e" cm="1" vm="1">
        <f t="array" ref="ARA3">_xlfn._xlws.FILTER(Rutas,_xlfn._xlws.FILTER($B$2:$B$10000,$B$2:$B$10000&lt;&gt;"")=VALUE(INDEX(IdClientes,MATCH(ARA2,Clientes,0))))</f>
        <v>#VALUE!</v>
      </c>
      <c r="ARB3" s="28" t="e" cm="1" vm="1">
        <f t="array" ref="ARB3">_xlfn._xlws.FILTER(Rutas,_xlfn._xlws.FILTER($B$2:$B$10000,$B$2:$B$10000&lt;&gt;"")=VALUE(INDEX(IdClientes,MATCH(ARB2,Clientes,0))))</f>
        <v>#VALUE!</v>
      </c>
      <c r="ARC3" s="28" t="e" cm="1" vm="1">
        <f t="array" ref="ARC3">_xlfn._xlws.FILTER(Rutas,_xlfn._xlws.FILTER($B$2:$B$10000,$B$2:$B$10000&lt;&gt;"")=VALUE(INDEX(IdClientes,MATCH(ARC2,Clientes,0))))</f>
        <v>#VALUE!</v>
      </c>
      <c r="ARD3" s="28" t="e" cm="1" vm="1">
        <f t="array" ref="ARD3">_xlfn._xlws.FILTER(Rutas,_xlfn._xlws.FILTER($B$2:$B$10000,$B$2:$B$10000&lt;&gt;"")=VALUE(INDEX(IdClientes,MATCH(ARD2,Clientes,0))))</f>
        <v>#VALUE!</v>
      </c>
      <c r="ARE3" s="28" t="e" cm="1" vm="1">
        <f t="array" ref="ARE3">_xlfn._xlws.FILTER(Rutas,_xlfn._xlws.FILTER($B$2:$B$10000,$B$2:$B$10000&lt;&gt;"")=VALUE(INDEX(IdClientes,MATCH(ARE2,Clientes,0))))</f>
        <v>#VALUE!</v>
      </c>
      <c r="ARF3" s="28" t="e" cm="1" vm="1">
        <f t="array" ref="ARF3">_xlfn._xlws.FILTER(Rutas,_xlfn._xlws.FILTER($B$2:$B$10000,$B$2:$B$10000&lt;&gt;"")=VALUE(INDEX(IdClientes,MATCH(ARF2,Clientes,0))))</f>
        <v>#VALUE!</v>
      </c>
      <c r="ARG3" s="28" t="e" cm="1" vm="1">
        <f t="array" ref="ARG3">_xlfn._xlws.FILTER(Rutas,_xlfn._xlws.FILTER($B$2:$B$10000,$B$2:$B$10000&lt;&gt;"")=VALUE(INDEX(IdClientes,MATCH(ARG2,Clientes,0))))</f>
        <v>#VALUE!</v>
      </c>
      <c r="ARH3" s="28" t="e" cm="1" vm="1">
        <f t="array" ref="ARH3">_xlfn._xlws.FILTER(Rutas,_xlfn._xlws.FILTER($B$2:$B$10000,$B$2:$B$10000&lt;&gt;"")=VALUE(INDEX(IdClientes,MATCH(ARH2,Clientes,0))))</f>
        <v>#VALUE!</v>
      </c>
      <c r="ARI3" s="28" t="e" cm="1" vm="1">
        <f t="array" ref="ARI3">_xlfn._xlws.FILTER(Rutas,_xlfn._xlws.FILTER($B$2:$B$10000,$B$2:$B$10000&lt;&gt;"")=VALUE(INDEX(IdClientes,MATCH(ARI2,Clientes,0))))</f>
        <v>#VALUE!</v>
      </c>
      <c r="ARJ3" s="28" t="e" cm="1" vm="1">
        <f t="array" ref="ARJ3">_xlfn._xlws.FILTER(Rutas,_xlfn._xlws.FILTER($B$2:$B$10000,$B$2:$B$10000&lt;&gt;"")=VALUE(INDEX(IdClientes,MATCH(ARJ2,Clientes,0))))</f>
        <v>#VALUE!</v>
      </c>
      <c r="ARK3" s="28" t="e" cm="1" vm="1">
        <f t="array" ref="ARK3">_xlfn._xlws.FILTER(Rutas,_xlfn._xlws.FILTER($B$2:$B$10000,$B$2:$B$10000&lt;&gt;"")=VALUE(INDEX(IdClientes,MATCH(ARK2,Clientes,0))))</f>
        <v>#VALUE!</v>
      </c>
      <c r="ARL3" s="28" t="e" cm="1" vm="1">
        <f t="array" ref="ARL3">_xlfn._xlws.FILTER(Rutas,_xlfn._xlws.FILTER($B$2:$B$10000,$B$2:$B$10000&lt;&gt;"")=VALUE(INDEX(IdClientes,MATCH(ARL2,Clientes,0))))</f>
        <v>#VALUE!</v>
      </c>
      <c r="ARM3" s="28" t="e" cm="1" vm="1">
        <f t="array" ref="ARM3">_xlfn._xlws.FILTER(Rutas,_xlfn._xlws.FILTER($B$2:$B$10000,$B$2:$B$10000&lt;&gt;"")=VALUE(INDEX(IdClientes,MATCH(ARM2,Clientes,0))))</f>
        <v>#VALUE!</v>
      </c>
      <c r="ARN3" s="28" t="e" cm="1" vm="1">
        <f t="array" ref="ARN3">_xlfn._xlws.FILTER(Rutas,_xlfn._xlws.FILTER($B$2:$B$10000,$B$2:$B$10000&lt;&gt;"")=VALUE(INDEX(IdClientes,MATCH(ARN2,Clientes,0))))</f>
        <v>#VALUE!</v>
      </c>
      <c r="ARO3" s="28" t="e" cm="1" vm="1">
        <f t="array" ref="ARO3">_xlfn._xlws.FILTER(Rutas,_xlfn._xlws.FILTER($B$2:$B$10000,$B$2:$B$10000&lt;&gt;"")=VALUE(INDEX(IdClientes,MATCH(ARO2,Clientes,0))))</f>
        <v>#VALUE!</v>
      </c>
      <c r="ARP3" s="28" t="e" cm="1" vm="1">
        <f t="array" ref="ARP3">_xlfn._xlws.FILTER(Rutas,_xlfn._xlws.FILTER($B$2:$B$10000,$B$2:$B$10000&lt;&gt;"")=VALUE(INDEX(IdClientes,MATCH(ARP2,Clientes,0))))</f>
        <v>#VALUE!</v>
      </c>
      <c r="ARQ3" s="28" t="e" cm="1" vm="1">
        <f t="array" ref="ARQ3">_xlfn._xlws.FILTER(Rutas,_xlfn._xlws.FILTER($B$2:$B$10000,$B$2:$B$10000&lt;&gt;"")=VALUE(INDEX(IdClientes,MATCH(ARQ2,Clientes,0))))</f>
        <v>#VALUE!</v>
      </c>
      <c r="ARR3" s="28" t="e" cm="1" vm="1">
        <f t="array" ref="ARR3">_xlfn._xlws.FILTER(Rutas,_xlfn._xlws.FILTER($B$2:$B$10000,$B$2:$B$10000&lt;&gt;"")=VALUE(INDEX(IdClientes,MATCH(ARR2,Clientes,0))))</f>
        <v>#VALUE!</v>
      </c>
      <c r="ARS3" s="28" t="e" cm="1" vm="1">
        <f t="array" ref="ARS3">_xlfn._xlws.FILTER(Rutas,_xlfn._xlws.FILTER($B$2:$B$10000,$B$2:$B$10000&lt;&gt;"")=VALUE(INDEX(IdClientes,MATCH(ARS2,Clientes,0))))</f>
        <v>#VALUE!</v>
      </c>
      <c r="ART3" s="28" t="e" cm="1" vm="1">
        <f t="array" ref="ART3">_xlfn._xlws.FILTER(Rutas,_xlfn._xlws.FILTER($B$2:$B$10000,$B$2:$B$10000&lt;&gt;"")=VALUE(INDEX(IdClientes,MATCH(ART2,Clientes,0))))</f>
        <v>#VALUE!</v>
      </c>
      <c r="ARU3" s="28" t="e" cm="1" vm="1">
        <f t="array" ref="ARU3">_xlfn._xlws.FILTER(Rutas,_xlfn._xlws.FILTER($B$2:$B$10000,$B$2:$B$10000&lt;&gt;"")=VALUE(INDEX(IdClientes,MATCH(ARU2,Clientes,0))))</f>
        <v>#VALUE!</v>
      </c>
      <c r="ARV3" s="28" t="e" cm="1" vm="1">
        <f t="array" ref="ARV3">_xlfn._xlws.FILTER(Rutas,_xlfn._xlws.FILTER($B$2:$B$10000,$B$2:$B$10000&lt;&gt;"")=VALUE(INDEX(IdClientes,MATCH(ARV2,Clientes,0))))</f>
        <v>#VALUE!</v>
      </c>
      <c r="ARW3" s="28" t="e" cm="1" vm="1">
        <f t="array" ref="ARW3">_xlfn._xlws.FILTER(Rutas,_xlfn._xlws.FILTER($B$2:$B$10000,$B$2:$B$10000&lt;&gt;"")=VALUE(INDEX(IdClientes,MATCH(ARW2,Clientes,0))))</f>
        <v>#VALUE!</v>
      </c>
      <c r="ARX3" s="28" t="e" cm="1" vm="1">
        <f t="array" ref="ARX3">_xlfn._xlws.FILTER(Rutas,_xlfn._xlws.FILTER($B$2:$B$10000,$B$2:$B$10000&lt;&gt;"")=VALUE(INDEX(IdClientes,MATCH(ARX2,Clientes,0))))</f>
        <v>#VALUE!</v>
      </c>
      <c r="ARY3" s="28" t="e" cm="1" vm="1">
        <f t="array" ref="ARY3">_xlfn._xlws.FILTER(Rutas,_xlfn._xlws.FILTER($B$2:$B$10000,$B$2:$B$10000&lt;&gt;"")=VALUE(INDEX(IdClientes,MATCH(ARY2,Clientes,0))))</f>
        <v>#VALUE!</v>
      </c>
      <c r="ARZ3" s="28" t="e" cm="1" vm="1">
        <f t="array" ref="ARZ3">_xlfn._xlws.FILTER(Rutas,_xlfn._xlws.FILTER($B$2:$B$10000,$B$2:$B$10000&lt;&gt;"")=VALUE(INDEX(IdClientes,MATCH(ARZ2,Clientes,0))))</f>
        <v>#VALUE!</v>
      </c>
      <c r="ASA3" s="28" t="e" cm="1" vm="1">
        <f t="array" ref="ASA3">_xlfn._xlws.FILTER(Rutas,_xlfn._xlws.FILTER($B$2:$B$10000,$B$2:$B$10000&lt;&gt;"")=VALUE(INDEX(IdClientes,MATCH(ASA2,Clientes,0))))</f>
        <v>#VALUE!</v>
      </c>
      <c r="ASB3" s="28" t="e" cm="1" vm="1">
        <f t="array" ref="ASB3">_xlfn._xlws.FILTER(Rutas,_xlfn._xlws.FILTER($B$2:$B$10000,$B$2:$B$10000&lt;&gt;"")=VALUE(INDEX(IdClientes,MATCH(ASB2,Clientes,0))))</f>
        <v>#VALUE!</v>
      </c>
      <c r="ASC3" s="28" t="e" cm="1" vm="1">
        <f t="array" ref="ASC3">_xlfn._xlws.FILTER(Rutas,_xlfn._xlws.FILTER($B$2:$B$10000,$B$2:$B$10000&lt;&gt;"")=VALUE(INDEX(IdClientes,MATCH(ASC2,Clientes,0))))</f>
        <v>#VALUE!</v>
      </c>
      <c r="ASD3" s="28" t="e" cm="1" vm="1">
        <f t="array" ref="ASD3">_xlfn._xlws.FILTER(Rutas,_xlfn._xlws.FILTER($B$2:$B$10000,$B$2:$B$10000&lt;&gt;"")=VALUE(INDEX(IdClientes,MATCH(ASD2,Clientes,0))))</f>
        <v>#VALUE!</v>
      </c>
      <c r="ASE3" s="28" t="e" cm="1" vm="1">
        <f t="array" ref="ASE3">_xlfn._xlws.FILTER(Rutas,_xlfn._xlws.FILTER($B$2:$B$10000,$B$2:$B$10000&lt;&gt;"")=VALUE(INDEX(IdClientes,MATCH(ASE2,Clientes,0))))</f>
        <v>#VALUE!</v>
      </c>
      <c r="ASF3" s="28" t="e" cm="1" vm="1">
        <f t="array" ref="ASF3">_xlfn._xlws.FILTER(Rutas,_xlfn._xlws.FILTER($B$2:$B$10000,$B$2:$B$10000&lt;&gt;"")=VALUE(INDEX(IdClientes,MATCH(ASF2,Clientes,0))))</f>
        <v>#VALUE!</v>
      </c>
      <c r="ASG3" s="28" t="e" cm="1" vm="1">
        <f t="array" ref="ASG3">_xlfn._xlws.FILTER(Rutas,_xlfn._xlws.FILTER($B$2:$B$10000,$B$2:$B$10000&lt;&gt;"")=VALUE(INDEX(IdClientes,MATCH(ASG2,Clientes,0))))</f>
        <v>#VALUE!</v>
      </c>
      <c r="ASH3" s="28" t="e" cm="1" vm="1">
        <f t="array" ref="ASH3">_xlfn._xlws.FILTER(Rutas,_xlfn._xlws.FILTER($B$2:$B$10000,$B$2:$B$10000&lt;&gt;"")=VALUE(INDEX(IdClientes,MATCH(ASH2,Clientes,0))))</f>
        <v>#VALUE!</v>
      </c>
      <c r="ASI3" s="28" t="e" cm="1" vm="1">
        <f t="array" ref="ASI3">_xlfn._xlws.FILTER(Rutas,_xlfn._xlws.FILTER($B$2:$B$10000,$B$2:$B$10000&lt;&gt;"")=VALUE(INDEX(IdClientes,MATCH(ASI2,Clientes,0))))</f>
        <v>#VALUE!</v>
      </c>
      <c r="ASJ3" s="28" t="e" cm="1" vm="1">
        <f t="array" ref="ASJ3">_xlfn._xlws.FILTER(Rutas,_xlfn._xlws.FILTER($B$2:$B$10000,$B$2:$B$10000&lt;&gt;"")=VALUE(INDEX(IdClientes,MATCH(ASJ2,Clientes,0))))</f>
        <v>#VALUE!</v>
      </c>
      <c r="ASK3" s="28" t="e" cm="1" vm="1">
        <f t="array" ref="ASK3">_xlfn._xlws.FILTER(Rutas,_xlfn._xlws.FILTER($B$2:$B$10000,$B$2:$B$10000&lt;&gt;"")=VALUE(INDEX(IdClientes,MATCH(ASK2,Clientes,0))))</f>
        <v>#VALUE!</v>
      </c>
      <c r="ASL3" s="28" t="e" cm="1" vm="1">
        <f t="array" ref="ASL3">_xlfn._xlws.FILTER(Rutas,_xlfn._xlws.FILTER($B$2:$B$10000,$B$2:$B$10000&lt;&gt;"")=VALUE(INDEX(IdClientes,MATCH(ASL2,Clientes,0))))</f>
        <v>#VALUE!</v>
      </c>
      <c r="ASM3" s="28" t="e" cm="1" vm="1">
        <f t="array" ref="ASM3">_xlfn._xlws.FILTER(Rutas,_xlfn._xlws.FILTER($B$2:$B$10000,$B$2:$B$10000&lt;&gt;"")=VALUE(INDEX(IdClientes,MATCH(ASM2,Clientes,0))))</f>
        <v>#VALUE!</v>
      </c>
      <c r="ASN3" s="28" t="e" cm="1" vm="1">
        <f t="array" ref="ASN3">_xlfn._xlws.FILTER(Rutas,_xlfn._xlws.FILTER($B$2:$B$10000,$B$2:$B$10000&lt;&gt;"")=VALUE(INDEX(IdClientes,MATCH(ASN2,Clientes,0))))</f>
        <v>#VALUE!</v>
      </c>
      <c r="ASO3" s="28" t="e" cm="1" vm="1">
        <f t="array" ref="ASO3">_xlfn._xlws.FILTER(Rutas,_xlfn._xlws.FILTER($B$2:$B$10000,$B$2:$B$10000&lt;&gt;"")=VALUE(INDEX(IdClientes,MATCH(ASO2,Clientes,0))))</f>
        <v>#VALUE!</v>
      </c>
      <c r="ASP3" s="28" t="e" cm="1" vm="1">
        <f t="array" ref="ASP3">_xlfn._xlws.FILTER(Rutas,_xlfn._xlws.FILTER($B$2:$B$10000,$B$2:$B$10000&lt;&gt;"")=VALUE(INDEX(IdClientes,MATCH(ASP2,Clientes,0))))</f>
        <v>#VALUE!</v>
      </c>
      <c r="ASQ3" s="28" t="e" cm="1" vm="1">
        <f t="array" ref="ASQ3">_xlfn._xlws.FILTER(Rutas,_xlfn._xlws.FILTER($B$2:$B$10000,$B$2:$B$10000&lt;&gt;"")=VALUE(INDEX(IdClientes,MATCH(ASQ2,Clientes,0))))</f>
        <v>#VALUE!</v>
      </c>
      <c r="ASR3" s="28" t="e" cm="1" vm="1">
        <f t="array" ref="ASR3">_xlfn._xlws.FILTER(Rutas,_xlfn._xlws.FILTER($B$2:$B$10000,$B$2:$B$10000&lt;&gt;"")=VALUE(INDEX(IdClientes,MATCH(ASR2,Clientes,0))))</f>
        <v>#VALUE!</v>
      </c>
      <c r="ASS3" s="28" t="e" cm="1" vm="1">
        <f t="array" ref="ASS3">_xlfn._xlws.FILTER(Rutas,_xlfn._xlws.FILTER($B$2:$B$10000,$B$2:$B$10000&lt;&gt;"")=VALUE(INDEX(IdClientes,MATCH(ASS2,Clientes,0))))</f>
        <v>#VALUE!</v>
      </c>
      <c r="AST3" s="28" t="e" cm="1" vm="1">
        <f t="array" ref="AST3">_xlfn._xlws.FILTER(Rutas,_xlfn._xlws.FILTER($B$2:$B$10000,$B$2:$B$10000&lt;&gt;"")=VALUE(INDEX(IdClientes,MATCH(AST2,Clientes,0))))</f>
        <v>#VALUE!</v>
      </c>
      <c r="ASU3" s="28" t="e" cm="1" vm="1">
        <f t="array" ref="ASU3">_xlfn._xlws.FILTER(Rutas,_xlfn._xlws.FILTER($B$2:$B$10000,$B$2:$B$10000&lt;&gt;"")=VALUE(INDEX(IdClientes,MATCH(ASU2,Clientes,0))))</f>
        <v>#VALUE!</v>
      </c>
      <c r="ASV3" s="28" t="e" cm="1" vm="1">
        <f t="array" ref="ASV3">_xlfn._xlws.FILTER(Rutas,_xlfn._xlws.FILTER($B$2:$B$10000,$B$2:$B$10000&lt;&gt;"")=VALUE(INDEX(IdClientes,MATCH(ASV2,Clientes,0))))</f>
        <v>#VALUE!</v>
      </c>
      <c r="ASW3" s="28" t="e" cm="1" vm="1">
        <f t="array" ref="ASW3">_xlfn._xlws.FILTER(Rutas,_xlfn._xlws.FILTER($B$2:$B$10000,$B$2:$B$10000&lt;&gt;"")=VALUE(INDEX(IdClientes,MATCH(ASW2,Clientes,0))))</f>
        <v>#VALUE!</v>
      </c>
      <c r="ASX3" s="28" t="e" cm="1" vm="1">
        <f t="array" ref="ASX3">_xlfn._xlws.FILTER(Rutas,_xlfn._xlws.FILTER($B$2:$B$10000,$B$2:$B$10000&lt;&gt;"")=VALUE(INDEX(IdClientes,MATCH(ASX2,Clientes,0))))</f>
        <v>#VALUE!</v>
      </c>
      <c r="ASY3" s="28" t="e" cm="1" vm="1">
        <f t="array" ref="ASY3">_xlfn._xlws.FILTER(Rutas,_xlfn._xlws.FILTER($B$2:$B$10000,$B$2:$B$10000&lt;&gt;"")=VALUE(INDEX(IdClientes,MATCH(ASY2,Clientes,0))))</f>
        <v>#VALUE!</v>
      </c>
      <c r="ASZ3" s="28" t="e" cm="1" vm="1">
        <f t="array" ref="ASZ3">_xlfn._xlws.FILTER(Rutas,_xlfn._xlws.FILTER($B$2:$B$10000,$B$2:$B$10000&lt;&gt;"")=VALUE(INDEX(IdClientes,MATCH(ASZ2,Clientes,0))))</f>
        <v>#VALUE!</v>
      </c>
      <c r="ATA3" s="28" t="e" cm="1" vm="1">
        <f t="array" ref="ATA3">_xlfn._xlws.FILTER(Rutas,_xlfn._xlws.FILTER($B$2:$B$10000,$B$2:$B$10000&lt;&gt;"")=VALUE(INDEX(IdClientes,MATCH(ATA2,Clientes,0))))</f>
        <v>#VALUE!</v>
      </c>
      <c r="ATB3" s="28" t="e" cm="1" vm="1">
        <f t="array" ref="ATB3">_xlfn._xlws.FILTER(Rutas,_xlfn._xlws.FILTER($B$2:$B$10000,$B$2:$B$10000&lt;&gt;"")=VALUE(INDEX(IdClientes,MATCH(ATB2,Clientes,0))))</f>
        <v>#VALUE!</v>
      </c>
      <c r="ATC3" s="28" t="e" cm="1" vm="1">
        <f t="array" ref="ATC3">_xlfn._xlws.FILTER(Rutas,_xlfn._xlws.FILTER($B$2:$B$10000,$B$2:$B$10000&lt;&gt;"")=VALUE(INDEX(IdClientes,MATCH(ATC2,Clientes,0))))</f>
        <v>#VALUE!</v>
      </c>
      <c r="ATD3" s="28" t="e" cm="1" vm="1">
        <f t="array" ref="ATD3">_xlfn._xlws.FILTER(Rutas,_xlfn._xlws.FILTER($B$2:$B$10000,$B$2:$B$10000&lt;&gt;"")=VALUE(INDEX(IdClientes,MATCH(ATD2,Clientes,0))))</f>
        <v>#VALUE!</v>
      </c>
      <c r="ATE3" s="28" t="e" cm="1" vm="1">
        <f t="array" ref="ATE3">_xlfn._xlws.FILTER(Rutas,_xlfn._xlws.FILTER($B$2:$B$10000,$B$2:$B$10000&lt;&gt;"")=VALUE(INDEX(IdClientes,MATCH(ATE2,Clientes,0))))</f>
        <v>#VALUE!</v>
      </c>
      <c r="ATF3" s="28" t="e" cm="1" vm="1">
        <f t="array" ref="ATF3">_xlfn._xlws.FILTER(Rutas,_xlfn._xlws.FILTER($B$2:$B$10000,$B$2:$B$10000&lt;&gt;"")=VALUE(INDEX(IdClientes,MATCH(ATF2,Clientes,0))))</f>
        <v>#VALUE!</v>
      </c>
      <c r="ATG3" s="28" t="e" cm="1" vm="1">
        <f t="array" ref="ATG3">_xlfn._xlws.FILTER(Rutas,_xlfn._xlws.FILTER($B$2:$B$10000,$B$2:$B$10000&lt;&gt;"")=VALUE(INDEX(IdClientes,MATCH(ATG2,Clientes,0))))</f>
        <v>#VALUE!</v>
      </c>
      <c r="ATH3" s="28" t="e" cm="1" vm="1">
        <f t="array" ref="ATH3">_xlfn._xlws.FILTER(Rutas,_xlfn._xlws.FILTER($B$2:$B$10000,$B$2:$B$10000&lt;&gt;"")=VALUE(INDEX(IdClientes,MATCH(ATH2,Clientes,0))))</f>
        <v>#VALUE!</v>
      </c>
      <c r="ATI3" s="28" t="e" cm="1" vm="1">
        <f t="array" ref="ATI3">_xlfn._xlws.FILTER(Rutas,_xlfn._xlws.FILTER($B$2:$B$10000,$B$2:$B$10000&lt;&gt;"")=VALUE(INDEX(IdClientes,MATCH(ATI2,Clientes,0))))</f>
        <v>#VALUE!</v>
      </c>
      <c r="ATJ3" s="28" t="e" cm="1" vm="1">
        <f t="array" ref="ATJ3">_xlfn._xlws.FILTER(Rutas,_xlfn._xlws.FILTER($B$2:$B$10000,$B$2:$B$10000&lt;&gt;"")=VALUE(INDEX(IdClientes,MATCH(ATJ2,Clientes,0))))</f>
        <v>#VALUE!</v>
      </c>
      <c r="ATK3" s="28" t="e" cm="1" vm="1">
        <f t="array" ref="ATK3">_xlfn._xlws.FILTER(Rutas,_xlfn._xlws.FILTER($B$2:$B$10000,$B$2:$B$10000&lt;&gt;"")=VALUE(INDEX(IdClientes,MATCH(ATK2,Clientes,0))))</f>
        <v>#VALUE!</v>
      </c>
      <c r="ATL3" s="28" t="e" cm="1" vm="1">
        <f t="array" ref="ATL3">_xlfn._xlws.FILTER(Rutas,_xlfn._xlws.FILTER($B$2:$B$10000,$B$2:$B$10000&lt;&gt;"")=VALUE(INDEX(IdClientes,MATCH(ATL2,Clientes,0))))</f>
        <v>#VALUE!</v>
      </c>
      <c r="ATM3" s="28" t="e" cm="1" vm="1">
        <f t="array" ref="ATM3">_xlfn._xlws.FILTER(Rutas,_xlfn._xlws.FILTER($B$2:$B$10000,$B$2:$B$10000&lt;&gt;"")=VALUE(INDEX(IdClientes,MATCH(ATM2,Clientes,0))))</f>
        <v>#VALUE!</v>
      </c>
      <c r="ATN3" s="28" t="e" cm="1" vm="1">
        <f t="array" ref="ATN3">_xlfn._xlws.FILTER(Rutas,_xlfn._xlws.FILTER($B$2:$B$10000,$B$2:$B$10000&lt;&gt;"")=VALUE(INDEX(IdClientes,MATCH(ATN2,Clientes,0))))</f>
        <v>#VALUE!</v>
      </c>
      <c r="ATO3" s="28" t="e" cm="1" vm="1">
        <f t="array" ref="ATO3">_xlfn._xlws.FILTER(Rutas,_xlfn._xlws.FILTER($B$2:$B$10000,$B$2:$B$10000&lt;&gt;"")=VALUE(INDEX(IdClientes,MATCH(ATO2,Clientes,0))))</f>
        <v>#VALUE!</v>
      </c>
      <c r="ATP3" s="28" t="e" cm="1" vm="1">
        <f t="array" ref="ATP3">_xlfn._xlws.FILTER(Rutas,_xlfn._xlws.FILTER($B$2:$B$10000,$B$2:$B$10000&lt;&gt;"")=VALUE(INDEX(IdClientes,MATCH(ATP2,Clientes,0))))</f>
        <v>#VALUE!</v>
      </c>
      <c r="ATQ3" s="28" t="e" cm="1" vm="1">
        <f t="array" ref="ATQ3">_xlfn._xlws.FILTER(Rutas,_xlfn._xlws.FILTER($B$2:$B$10000,$B$2:$B$10000&lt;&gt;"")=VALUE(INDEX(IdClientes,MATCH(ATQ2,Clientes,0))))</f>
        <v>#VALUE!</v>
      </c>
      <c r="ATR3" s="28" t="e" cm="1" vm="1">
        <f t="array" ref="ATR3">_xlfn._xlws.FILTER(Rutas,_xlfn._xlws.FILTER($B$2:$B$10000,$B$2:$B$10000&lt;&gt;"")=VALUE(INDEX(IdClientes,MATCH(ATR2,Clientes,0))))</f>
        <v>#VALUE!</v>
      </c>
      <c r="ATS3" s="28" t="e" cm="1" vm="1">
        <f t="array" ref="ATS3">_xlfn._xlws.FILTER(Rutas,_xlfn._xlws.FILTER($B$2:$B$10000,$B$2:$B$10000&lt;&gt;"")=VALUE(INDEX(IdClientes,MATCH(ATS2,Clientes,0))))</f>
        <v>#VALUE!</v>
      </c>
      <c r="ATT3" s="28" t="e" cm="1" vm="1">
        <f t="array" ref="ATT3">_xlfn._xlws.FILTER(Rutas,_xlfn._xlws.FILTER($B$2:$B$10000,$B$2:$B$10000&lt;&gt;"")=VALUE(INDEX(IdClientes,MATCH(ATT2,Clientes,0))))</f>
        <v>#VALUE!</v>
      </c>
      <c r="ATU3" s="28" t="e" cm="1" vm="1">
        <f t="array" ref="ATU3">_xlfn._xlws.FILTER(Rutas,_xlfn._xlws.FILTER($B$2:$B$10000,$B$2:$B$10000&lt;&gt;"")=VALUE(INDEX(IdClientes,MATCH(ATU2,Clientes,0))))</f>
        <v>#VALUE!</v>
      </c>
      <c r="ATV3" s="28" t="e" cm="1" vm="1">
        <f t="array" ref="ATV3">_xlfn._xlws.FILTER(Rutas,_xlfn._xlws.FILTER($B$2:$B$10000,$B$2:$B$10000&lt;&gt;"")=VALUE(INDEX(IdClientes,MATCH(ATV2,Clientes,0))))</f>
        <v>#VALUE!</v>
      </c>
      <c r="ATW3" s="28" t="e" cm="1" vm="1">
        <f t="array" ref="ATW3">_xlfn._xlws.FILTER(Rutas,_xlfn._xlws.FILTER($B$2:$B$10000,$B$2:$B$10000&lt;&gt;"")=VALUE(INDEX(IdClientes,MATCH(ATW2,Clientes,0))))</f>
        <v>#VALUE!</v>
      </c>
      <c r="ATX3" s="28" t="e" cm="1" vm="1">
        <f t="array" ref="ATX3">_xlfn._xlws.FILTER(Rutas,_xlfn._xlws.FILTER($B$2:$B$10000,$B$2:$B$10000&lt;&gt;"")=VALUE(INDEX(IdClientes,MATCH(ATX2,Clientes,0))))</f>
        <v>#VALUE!</v>
      </c>
      <c r="ATY3" s="28" t="e" cm="1" vm="1">
        <f t="array" ref="ATY3">_xlfn._xlws.FILTER(Rutas,_xlfn._xlws.FILTER($B$2:$B$10000,$B$2:$B$10000&lt;&gt;"")=VALUE(INDEX(IdClientes,MATCH(ATY2,Clientes,0))))</f>
        <v>#VALUE!</v>
      </c>
      <c r="ATZ3" s="28" t="e" cm="1" vm="1">
        <f t="array" ref="ATZ3">_xlfn._xlws.FILTER(Rutas,_xlfn._xlws.FILTER($B$2:$B$10000,$B$2:$B$10000&lt;&gt;"")=VALUE(INDEX(IdClientes,MATCH(ATZ2,Clientes,0))))</f>
        <v>#VALUE!</v>
      </c>
      <c r="AUA3" s="28" t="e" cm="1" vm="1">
        <f t="array" ref="AUA3">_xlfn._xlws.FILTER(Rutas,_xlfn._xlws.FILTER($B$2:$B$10000,$B$2:$B$10000&lt;&gt;"")=VALUE(INDEX(IdClientes,MATCH(AUA2,Clientes,0))))</f>
        <v>#VALUE!</v>
      </c>
      <c r="AUB3" s="28" t="e" cm="1" vm="1">
        <f t="array" ref="AUB3">_xlfn._xlws.FILTER(Rutas,_xlfn._xlws.FILTER($B$2:$B$10000,$B$2:$B$10000&lt;&gt;"")=VALUE(INDEX(IdClientes,MATCH(AUB2,Clientes,0))))</f>
        <v>#VALUE!</v>
      </c>
      <c r="AUC3" s="28" t="e" cm="1" vm="1">
        <f t="array" ref="AUC3">_xlfn._xlws.FILTER(Rutas,_xlfn._xlws.FILTER($B$2:$B$10000,$B$2:$B$10000&lt;&gt;"")=VALUE(INDEX(IdClientes,MATCH(AUC2,Clientes,0))))</f>
        <v>#VALUE!</v>
      </c>
      <c r="AUD3" s="28" t="e" cm="1" vm="1">
        <f t="array" ref="AUD3">_xlfn._xlws.FILTER(Rutas,_xlfn._xlws.FILTER($B$2:$B$10000,$B$2:$B$10000&lt;&gt;"")=VALUE(INDEX(IdClientes,MATCH(AUD2,Clientes,0))))</f>
        <v>#VALUE!</v>
      </c>
      <c r="AUE3" s="28" t="e" cm="1" vm="1">
        <f t="array" ref="AUE3">_xlfn._xlws.FILTER(Rutas,_xlfn._xlws.FILTER($B$2:$B$10000,$B$2:$B$10000&lt;&gt;"")=VALUE(INDEX(IdClientes,MATCH(AUE2,Clientes,0))))</f>
        <v>#VALUE!</v>
      </c>
      <c r="AUF3" s="28" t="e" cm="1" vm="1">
        <f t="array" ref="AUF3">_xlfn._xlws.FILTER(Rutas,_xlfn._xlws.FILTER($B$2:$B$10000,$B$2:$B$10000&lt;&gt;"")=VALUE(INDEX(IdClientes,MATCH(AUF2,Clientes,0))))</f>
        <v>#VALUE!</v>
      </c>
      <c r="AUG3" s="28" t="e" cm="1" vm="1">
        <f t="array" ref="AUG3">_xlfn._xlws.FILTER(Rutas,_xlfn._xlws.FILTER($B$2:$B$10000,$B$2:$B$10000&lt;&gt;"")=VALUE(INDEX(IdClientes,MATCH(AUG2,Clientes,0))))</f>
        <v>#VALUE!</v>
      </c>
      <c r="AUH3" s="28" t="e" cm="1" vm="1">
        <f t="array" ref="AUH3">_xlfn._xlws.FILTER(Rutas,_xlfn._xlws.FILTER($B$2:$B$10000,$B$2:$B$10000&lt;&gt;"")=VALUE(INDEX(IdClientes,MATCH(AUH2,Clientes,0))))</f>
        <v>#VALUE!</v>
      </c>
      <c r="AUI3" s="28" t="e" cm="1" vm="1">
        <f t="array" ref="AUI3">_xlfn._xlws.FILTER(Rutas,_xlfn._xlws.FILTER($B$2:$B$10000,$B$2:$B$10000&lt;&gt;"")=VALUE(INDEX(IdClientes,MATCH(AUI2,Clientes,0))))</f>
        <v>#VALUE!</v>
      </c>
      <c r="AUJ3" s="28" t="e" cm="1" vm="1">
        <f t="array" ref="AUJ3">_xlfn._xlws.FILTER(Rutas,_xlfn._xlws.FILTER($B$2:$B$10000,$B$2:$B$10000&lt;&gt;"")=VALUE(INDEX(IdClientes,MATCH(AUJ2,Clientes,0))))</f>
        <v>#VALUE!</v>
      </c>
      <c r="AUK3" s="28" t="e" cm="1" vm="1">
        <f t="array" ref="AUK3">_xlfn._xlws.FILTER(Rutas,_xlfn._xlws.FILTER($B$2:$B$10000,$B$2:$B$10000&lt;&gt;"")=VALUE(INDEX(IdClientes,MATCH(AUK2,Clientes,0))))</f>
        <v>#VALUE!</v>
      </c>
      <c r="AUL3" s="28" t="e" cm="1" vm="1">
        <f t="array" ref="AUL3">_xlfn._xlws.FILTER(Rutas,_xlfn._xlws.FILTER($B$2:$B$10000,$B$2:$B$10000&lt;&gt;"")=VALUE(INDEX(IdClientes,MATCH(AUL2,Clientes,0))))</f>
        <v>#VALUE!</v>
      </c>
      <c r="AUM3" s="28" t="e" cm="1" vm="1">
        <f t="array" ref="AUM3">_xlfn._xlws.FILTER(Rutas,_xlfn._xlws.FILTER($B$2:$B$10000,$B$2:$B$10000&lt;&gt;"")=VALUE(INDEX(IdClientes,MATCH(AUM2,Clientes,0))))</f>
        <v>#VALUE!</v>
      </c>
      <c r="AUN3" s="28" t="e" cm="1" vm="1">
        <f t="array" ref="AUN3">_xlfn._xlws.FILTER(Rutas,_xlfn._xlws.FILTER($B$2:$B$10000,$B$2:$B$10000&lt;&gt;"")=VALUE(INDEX(IdClientes,MATCH(AUN2,Clientes,0))))</f>
        <v>#VALUE!</v>
      </c>
      <c r="AUO3" s="28" t="e" cm="1" vm="1">
        <f t="array" ref="AUO3">_xlfn._xlws.FILTER(Rutas,_xlfn._xlws.FILTER($B$2:$B$10000,$B$2:$B$10000&lt;&gt;"")=VALUE(INDEX(IdClientes,MATCH(AUO2,Clientes,0))))</f>
        <v>#VALUE!</v>
      </c>
      <c r="AUP3" s="28" t="e" cm="1" vm="1">
        <f t="array" ref="AUP3">_xlfn._xlws.FILTER(Rutas,_xlfn._xlws.FILTER($B$2:$B$10000,$B$2:$B$10000&lt;&gt;"")=VALUE(INDEX(IdClientes,MATCH(AUP2,Clientes,0))))</f>
        <v>#VALUE!</v>
      </c>
      <c r="AUQ3" s="28" t="e" cm="1" vm="1">
        <f t="array" ref="AUQ3">_xlfn._xlws.FILTER(Rutas,_xlfn._xlws.FILTER($B$2:$B$10000,$B$2:$B$10000&lt;&gt;"")=VALUE(INDEX(IdClientes,MATCH(AUQ2,Clientes,0))))</f>
        <v>#VALUE!</v>
      </c>
      <c r="AUR3" s="28" t="e" cm="1" vm="1">
        <f t="array" ref="AUR3">_xlfn._xlws.FILTER(Rutas,_xlfn._xlws.FILTER($B$2:$B$10000,$B$2:$B$10000&lt;&gt;"")=VALUE(INDEX(IdClientes,MATCH(AUR2,Clientes,0))))</f>
        <v>#VALUE!</v>
      </c>
      <c r="AUS3" s="28" t="e" cm="1" vm="1">
        <f t="array" ref="AUS3">_xlfn._xlws.FILTER(Rutas,_xlfn._xlws.FILTER($B$2:$B$10000,$B$2:$B$10000&lt;&gt;"")=VALUE(INDEX(IdClientes,MATCH(AUS2,Clientes,0))))</f>
        <v>#VALUE!</v>
      </c>
      <c r="AUT3" s="28" t="e" cm="1" vm="1">
        <f t="array" ref="AUT3">_xlfn._xlws.FILTER(Rutas,_xlfn._xlws.FILTER($B$2:$B$10000,$B$2:$B$10000&lt;&gt;"")=VALUE(INDEX(IdClientes,MATCH(AUT2,Clientes,0))))</f>
        <v>#VALUE!</v>
      </c>
      <c r="AUU3" s="28" t="e" cm="1" vm="1">
        <f t="array" ref="AUU3">_xlfn._xlws.FILTER(Rutas,_xlfn._xlws.FILTER($B$2:$B$10000,$B$2:$B$10000&lt;&gt;"")=VALUE(INDEX(IdClientes,MATCH(AUU2,Clientes,0))))</f>
        <v>#VALUE!</v>
      </c>
      <c r="AUV3" s="28" t="e" cm="1" vm="1">
        <f t="array" ref="AUV3">_xlfn._xlws.FILTER(Rutas,_xlfn._xlws.FILTER($B$2:$B$10000,$B$2:$B$10000&lt;&gt;"")=VALUE(INDEX(IdClientes,MATCH(AUV2,Clientes,0))))</f>
        <v>#VALUE!</v>
      </c>
      <c r="AUW3" s="28" t="e" cm="1" vm="1">
        <f t="array" ref="AUW3">_xlfn._xlws.FILTER(Rutas,_xlfn._xlws.FILTER($B$2:$B$10000,$B$2:$B$10000&lt;&gt;"")=VALUE(INDEX(IdClientes,MATCH(AUW2,Clientes,0))))</f>
        <v>#VALUE!</v>
      </c>
      <c r="AUX3" s="28" t="e" cm="1" vm="1">
        <f t="array" ref="AUX3">_xlfn._xlws.FILTER(Rutas,_xlfn._xlws.FILTER($B$2:$B$10000,$B$2:$B$10000&lt;&gt;"")=VALUE(INDEX(IdClientes,MATCH(AUX2,Clientes,0))))</f>
        <v>#VALUE!</v>
      </c>
      <c r="AUY3" s="28" t="e" cm="1" vm="1">
        <f t="array" ref="AUY3">_xlfn._xlws.FILTER(Rutas,_xlfn._xlws.FILTER($B$2:$B$10000,$B$2:$B$10000&lt;&gt;"")=VALUE(INDEX(IdClientes,MATCH(AUY2,Clientes,0))))</f>
        <v>#VALUE!</v>
      </c>
      <c r="AUZ3" s="28" t="e" cm="1" vm="1">
        <f t="array" ref="AUZ3">_xlfn._xlws.FILTER(Rutas,_xlfn._xlws.FILTER($B$2:$B$10000,$B$2:$B$10000&lt;&gt;"")=VALUE(INDEX(IdClientes,MATCH(AUZ2,Clientes,0))))</f>
        <v>#VALUE!</v>
      </c>
      <c r="AVA3" s="28" t="e" cm="1" vm="1">
        <f t="array" ref="AVA3">_xlfn._xlws.FILTER(Rutas,_xlfn._xlws.FILTER($B$2:$B$10000,$B$2:$B$10000&lt;&gt;"")=VALUE(INDEX(IdClientes,MATCH(AVA2,Clientes,0))))</f>
        <v>#VALUE!</v>
      </c>
      <c r="AVB3" s="28" t="e" cm="1" vm="1">
        <f t="array" ref="AVB3">_xlfn._xlws.FILTER(Rutas,_xlfn._xlws.FILTER($B$2:$B$10000,$B$2:$B$10000&lt;&gt;"")=VALUE(INDEX(IdClientes,MATCH(AVB2,Clientes,0))))</f>
        <v>#VALUE!</v>
      </c>
      <c r="AVC3" s="28" t="e" cm="1" vm="1">
        <f t="array" ref="AVC3">_xlfn._xlws.FILTER(Rutas,_xlfn._xlws.FILTER($B$2:$B$10000,$B$2:$B$10000&lt;&gt;"")=VALUE(INDEX(IdClientes,MATCH(AVC2,Clientes,0))))</f>
        <v>#VALUE!</v>
      </c>
      <c r="AVD3" s="28" t="e" cm="1" vm="1">
        <f t="array" ref="AVD3">_xlfn._xlws.FILTER(Rutas,_xlfn._xlws.FILTER($B$2:$B$10000,$B$2:$B$10000&lt;&gt;"")=VALUE(INDEX(IdClientes,MATCH(AVD2,Clientes,0))))</f>
        <v>#VALUE!</v>
      </c>
      <c r="AVE3" s="28" t="e" cm="1" vm="1">
        <f t="array" ref="AVE3">_xlfn._xlws.FILTER(Rutas,_xlfn._xlws.FILTER($B$2:$B$10000,$B$2:$B$10000&lt;&gt;"")=VALUE(INDEX(IdClientes,MATCH(AVE2,Clientes,0))))</f>
        <v>#VALUE!</v>
      </c>
      <c r="AVF3" s="28" t="e" cm="1" vm="1">
        <f t="array" ref="AVF3">_xlfn._xlws.FILTER(Rutas,_xlfn._xlws.FILTER($B$2:$B$10000,$B$2:$B$10000&lt;&gt;"")=VALUE(INDEX(IdClientes,MATCH(AVF2,Clientes,0))))</f>
        <v>#VALUE!</v>
      </c>
      <c r="AVG3" s="28" t="e" cm="1" vm="1">
        <f t="array" ref="AVG3">_xlfn._xlws.FILTER(Rutas,_xlfn._xlws.FILTER($B$2:$B$10000,$B$2:$B$10000&lt;&gt;"")=VALUE(INDEX(IdClientes,MATCH(AVG2,Clientes,0))))</f>
        <v>#VALUE!</v>
      </c>
      <c r="AVH3" s="28" t="e" cm="1" vm="1">
        <f t="array" ref="AVH3">_xlfn._xlws.FILTER(Rutas,_xlfn._xlws.FILTER($B$2:$B$10000,$B$2:$B$10000&lt;&gt;"")=VALUE(INDEX(IdClientes,MATCH(AVH2,Clientes,0))))</f>
        <v>#VALUE!</v>
      </c>
      <c r="AVI3" s="28" t="e" cm="1" vm="1">
        <f t="array" ref="AVI3">_xlfn._xlws.FILTER(Rutas,_xlfn._xlws.FILTER($B$2:$B$10000,$B$2:$B$10000&lt;&gt;"")=VALUE(INDEX(IdClientes,MATCH(AVI2,Clientes,0))))</f>
        <v>#VALUE!</v>
      </c>
      <c r="AVJ3" s="28" t="e" cm="1" vm="1">
        <f t="array" ref="AVJ3">_xlfn._xlws.FILTER(Rutas,_xlfn._xlws.FILTER($B$2:$B$10000,$B$2:$B$10000&lt;&gt;"")=VALUE(INDEX(IdClientes,MATCH(AVJ2,Clientes,0))))</f>
        <v>#VALUE!</v>
      </c>
      <c r="AVK3" s="28" t="e" cm="1" vm="1">
        <f t="array" ref="AVK3">_xlfn._xlws.FILTER(Rutas,_xlfn._xlws.FILTER($B$2:$B$10000,$B$2:$B$10000&lt;&gt;"")=VALUE(INDEX(IdClientes,MATCH(AVK2,Clientes,0))))</f>
        <v>#VALUE!</v>
      </c>
      <c r="AVL3" s="28" t="e" cm="1" vm="1">
        <f t="array" ref="AVL3">_xlfn._xlws.FILTER(Rutas,_xlfn._xlws.FILTER($B$2:$B$10000,$B$2:$B$10000&lt;&gt;"")=VALUE(INDEX(IdClientes,MATCH(AVL2,Clientes,0))))</f>
        <v>#VALUE!</v>
      </c>
      <c r="AVM3" s="28" t="e" cm="1" vm="1">
        <f t="array" ref="AVM3">_xlfn._xlws.FILTER(Rutas,_xlfn._xlws.FILTER($B$2:$B$10000,$B$2:$B$10000&lt;&gt;"")=VALUE(INDEX(IdClientes,MATCH(AVM2,Clientes,0))))</f>
        <v>#VALUE!</v>
      </c>
      <c r="AVN3" s="28" t="e" cm="1" vm="1">
        <f t="array" ref="AVN3">_xlfn._xlws.FILTER(Rutas,_xlfn._xlws.FILTER($B$2:$B$10000,$B$2:$B$10000&lt;&gt;"")=VALUE(INDEX(IdClientes,MATCH(AVN2,Clientes,0))))</f>
        <v>#VALUE!</v>
      </c>
      <c r="AVO3" s="28" t="e" cm="1" vm="1">
        <f t="array" ref="AVO3">_xlfn._xlws.FILTER(Rutas,_xlfn._xlws.FILTER($B$2:$B$10000,$B$2:$B$10000&lt;&gt;"")=VALUE(INDEX(IdClientes,MATCH(AVO2,Clientes,0))))</f>
        <v>#VALUE!</v>
      </c>
      <c r="AVP3" s="28" t="e" cm="1" vm="1">
        <f t="array" ref="AVP3">_xlfn._xlws.FILTER(Rutas,_xlfn._xlws.FILTER($B$2:$B$10000,$B$2:$B$10000&lt;&gt;"")=VALUE(INDEX(IdClientes,MATCH(AVP2,Clientes,0))))</f>
        <v>#VALUE!</v>
      </c>
      <c r="AVQ3" s="28" t="e" cm="1" vm="1">
        <f t="array" ref="AVQ3">_xlfn._xlws.FILTER(Rutas,_xlfn._xlws.FILTER($B$2:$B$10000,$B$2:$B$10000&lt;&gt;"")=VALUE(INDEX(IdClientes,MATCH(AVQ2,Clientes,0))))</f>
        <v>#VALUE!</v>
      </c>
      <c r="AVR3" s="28" t="e" cm="1" vm="1">
        <f t="array" ref="AVR3">_xlfn._xlws.FILTER(Rutas,_xlfn._xlws.FILTER($B$2:$B$10000,$B$2:$B$10000&lt;&gt;"")=VALUE(INDEX(IdClientes,MATCH(AVR2,Clientes,0))))</f>
        <v>#VALUE!</v>
      </c>
      <c r="AVS3" s="28" t="e" cm="1" vm="1">
        <f t="array" ref="AVS3">_xlfn._xlws.FILTER(Rutas,_xlfn._xlws.FILTER($B$2:$B$10000,$B$2:$B$10000&lt;&gt;"")=VALUE(INDEX(IdClientes,MATCH(AVS2,Clientes,0))))</f>
        <v>#VALUE!</v>
      </c>
      <c r="AVT3" s="28" t="e" cm="1" vm="1">
        <f t="array" ref="AVT3">_xlfn._xlws.FILTER(Rutas,_xlfn._xlws.FILTER($B$2:$B$10000,$B$2:$B$10000&lt;&gt;"")=VALUE(INDEX(IdClientes,MATCH(AVT2,Clientes,0))))</f>
        <v>#VALUE!</v>
      </c>
      <c r="AVU3" s="28" t="e" cm="1" vm="1">
        <f t="array" ref="AVU3">_xlfn._xlws.FILTER(Rutas,_xlfn._xlws.FILTER($B$2:$B$10000,$B$2:$B$10000&lt;&gt;"")=VALUE(INDEX(IdClientes,MATCH(AVU2,Clientes,0))))</f>
        <v>#VALUE!</v>
      </c>
      <c r="AVV3" s="28" t="e" cm="1" vm="1">
        <f t="array" ref="AVV3">_xlfn._xlws.FILTER(Rutas,_xlfn._xlws.FILTER($B$2:$B$10000,$B$2:$B$10000&lt;&gt;"")=VALUE(INDEX(IdClientes,MATCH(AVV2,Clientes,0))))</f>
        <v>#VALUE!</v>
      </c>
      <c r="AVW3" s="28" t="e" cm="1" vm="1">
        <f t="array" ref="AVW3">_xlfn._xlws.FILTER(Rutas,_xlfn._xlws.FILTER($B$2:$B$10000,$B$2:$B$10000&lt;&gt;"")=VALUE(INDEX(IdClientes,MATCH(AVW2,Clientes,0))))</f>
        <v>#VALUE!</v>
      </c>
      <c r="AVX3" s="28" t="e" cm="1" vm="1">
        <f t="array" ref="AVX3">_xlfn._xlws.FILTER(Rutas,_xlfn._xlws.FILTER($B$2:$B$10000,$B$2:$B$10000&lt;&gt;"")=VALUE(INDEX(IdClientes,MATCH(AVX2,Clientes,0))))</f>
        <v>#VALUE!</v>
      </c>
      <c r="AVY3" s="28" t="e" cm="1" vm="1">
        <f t="array" ref="AVY3">_xlfn._xlws.FILTER(Rutas,_xlfn._xlws.FILTER($B$2:$B$10000,$B$2:$B$10000&lt;&gt;"")=VALUE(INDEX(IdClientes,MATCH(AVY2,Clientes,0))))</f>
        <v>#VALUE!</v>
      </c>
      <c r="AVZ3" s="28" t="e" cm="1" vm="1">
        <f t="array" ref="AVZ3">_xlfn._xlws.FILTER(Rutas,_xlfn._xlws.FILTER($B$2:$B$10000,$B$2:$B$10000&lt;&gt;"")=VALUE(INDEX(IdClientes,MATCH(AVZ2,Clientes,0))))</f>
        <v>#VALUE!</v>
      </c>
      <c r="AWA3" s="28" t="e" cm="1" vm="1">
        <f t="array" ref="AWA3">_xlfn._xlws.FILTER(Rutas,_xlfn._xlws.FILTER($B$2:$B$10000,$B$2:$B$10000&lt;&gt;"")=VALUE(INDEX(IdClientes,MATCH(AWA2,Clientes,0))))</f>
        <v>#VALUE!</v>
      </c>
      <c r="AWB3" s="28" t="e" cm="1" vm="1">
        <f t="array" ref="AWB3">_xlfn._xlws.FILTER(Rutas,_xlfn._xlws.FILTER($B$2:$B$10000,$B$2:$B$10000&lt;&gt;"")=VALUE(INDEX(IdClientes,MATCH(AWB2,Clientes,0))))</f>
        <v>#VALUE!</v>
      </c>
      <c r="AWC3" s="28" t="e" cm="1" vm="1">
        <f t="array" ref="AWC3">_xlfn._xlws.FILTER(Rutas,_xlfn._xlws.FILTER($B$2:$B$10000,$B$2:$B$10000&lt;&gt;"")=VALUE(INDEX(IdClientes,MATCH(AWC2,Clientes,0))))</f>
        <v>#VALUE!</v>
      </c>
      <c r="AWD3" s="28" t="e" cm="1" vm="1">
        <f t="array" ref="AWD3">_xlfn._xlws.FILTER(Rutas,_xlfn._xlws.FILTER($B$2:$B$10000,$B$2:$B$10000&lt;&gt;"")=VALUE(INDEX(IdClientes,MATCH(AWD2,Clientes,0))))</f>
        <v>#VALUE!</v>
      </c>
      <c r="AWE3" s="28" t="e" cm="1" vm="1">
        <f t="array" ref="AWE3">_xlfn._xlws.FILTER(Rutas,_xlfn._xlws.FILTER($B$2:$B$10000,$B$2:$B$10000&lt;&gt;"")=VALUE(INDEX(IdClientes,MATCH(AWE2,Clientes,0))))</f>
        <v>#VALUE!</v>
      </c>
      <c r="AWF3" s="28" t="e" cm="1" vm="1">
        <f t="array" ref="AWF3">_xlfn._xlws.FILTER(Rutas,_xlfn._xlws.FILTER($B$2:$B$10000,$B$2:$B$10000&lt;&gt;"")=VALUE(INDEX(IdClientes,MATCH(AWF2,Clientes,0))))</f>
        <v>#VALUE!</v>
      </c>
      <c r="AWG3" s="28" t="e" cm="1" vm="1">
        <f t="array" ref="AWG3">_xlfn._xlws.FILTER(Rutas,_xlfn._xlws.FILTER($B$2:$B$10000,$B$2:$B$10000&lt;&gt;"")=VALUE(INDEX(IdClientes,MATCH(AWG2,Clientes,0))))</f>
        <v>#VALUE!</v>
      </c>
      <c r="AWH3" s="28" t="e" cm="1" vm="1">
        <f t="array" ref="AWH3">_xlfn._xlws.FILTER(Rutas,_xlfn._xlws.FILTER($B$2:$B$10000,$B$2:$B$10000&lt;&gt;"")=VALUE(INDEX(IdClientes,MATCH(AWH2,Clientes,0))))</f>
        <v>#VALUE!</v>
      </c>
      <c r="AWI3" s="28" t="e" cm="1" vm="1">
        <f t="array" ref="AWI3">_xlfn._xlws.FILTER(Rutas,_xlfn._xlws.FILTER($B$2:$B$10000,$B$2:$B$10000&lt;&gt;"")=VALUE(INDEX(IdClientes,MATCH(AWI2,Clientes,0))))</f>
        <v>#VALUE!</v>
      </c>
      <c r="AWJ3" s="28" t="e" cm="1" vm="1">
        <f t="array" ref="AWJ3">_xlfn._xlws.FILTER(Rutas,_xlfn._xlws.FILTER($B$2:$B$10000,$B$2:$B$10000&lt;&gt;"")=VALUE(INDEX(IdClientes,MATCH(AWJ2,Clientes,0))))</f>
        <v>#VALUE!</v>
      </c>
      <c r="AWK3" s="28" t="e" cm="1" vm="1">
        <f t="array" ref="AWK3">_xlfn._xlws.FILTER(Rutas,_xlfn._xlws.FILTER($B$2:$B$10000,$B$2:$B$10000&lt;&gt;"")=VALUE(INDEX(IdClientes,MATCH(AWK2,Clientes,0))))</f>
        <v>#VALUE!</v>
      </c>
      <c r="AWL3" s="28" t="e" cm="1" vm="1">
        <f t="array" ref="AWL3">_xlfn._xlws.FILTER(Rutas,_xlfn._xlws.FILTER($B$2:$B$10000,$B$2:$B$10000&lt;&gt;"")=VALUE(INDEX(IdClientes,MATCH(AWL2,Clientes,0))))</f>
        <v>#VALUE!</v>
      </c>
      <c r="AWM3" s="28" t="e" cm="1" vm="1">
        <f t="array" ref="AWM3">_xlfn._xlws.FILTER(Rutas,_xlfn._xlws.FILTER($B$2:$B$10000,$B$2:$B$10000&lt;&gt;"")=VALUE(INDEX(IdClientes,MATCH(AWM2,Clientes,0))))</f>
        <v>#VALUE!</v>
      </c>
      <c r="AWN3" s="28" t="e" cm="1" vm="1">
        <f t="array" ref="AWN3">_xlfn._xlws.FILTER(Rutas,_xlfn._xlws.FILTER($B$2:$B$10000,$B$2:$B$10000&lt;&gt;"")=VALUE(INDEX(IdClientes,MATCH(AWN2,Clientes,0))))</f>
        <v>#VALUE!</v>
      </c>
      <c r="AWO3" s="28" t="e" cm="1" vm="1">
        <f t="array" ref="AWO3">_xlfn._xlws.FILTER(Rutas,_xlfn._xlws.FILTER($B$2:$B$10000,$B$2:$B$10000&lt;&gt;"")=VALUE(INDEX(IdClientes,MATCH(AWO2,Clientes,0))))</f>
        <v>#VALUE!</v>
      </c>
      <c r="AWP3" s="28" t="e" cm="1" vm="1">
        <f t="array" ref="AWP3">_xlfn._xlws.FILTER(Rutas,_xlfn._xlws.FILTER($B$2:$B$10000,$B$2:$B$10000&lt;&gt;"")=VALUE(INDEX(IdClientes,MATCH(AWP2,Clientes,0))))</f>
        <v>#VALUE!</v>
      </c>
      <c r="AWQ3" s="28" t="e" cm="1" vm="1">
        <f t="array" ref="AWQ3">_xlfn._xlws.FILTER(Rutas,_xlfn._xlws.FILTER($B$2:$B$10000,$B$2:$B$10000&lt;&gt;"")=VALUE(INDEX(IdClientes,MATCH(AWQ2,Clientes,0))))</f>
        <v>#VALUE!</v>
      </c>
      <c r="AWR3" s="28" t="e" cm="1" vm="1">
        <f t="array" ref="AWR3">_xlfn._xlws.FILTER(Rutas,_xlfn._xlws.FILTER($B$2:$B$10000,$B$2:$B$10000&lt;&gt;"")=VALUE(INDEX(IdClientes,MATCH(AWR2,Clientes,0))))</f>
        <v>#VALUE!</v>
      </c>
      <c r="AWS3" s="28" t="e" cm="1" vm="1">
        <f t="array" ref="AWS3">_xlfn._xlws.FILTER(Rutas,_xlfn._xlws.FILTER($B$2:$B$10000,$B$2:$B$10000&lt;&gt;"")=VALUE(INDEX(IdClientes,MATCH(AWS2,Clientes,0))))</f>
        <v>#VALUE!</v>
      </c>
      <c r="AWT3" s="28" t="e" cm="1" vm="1">
        <f t="array" ref="AWT3">_xlfn._xlws.FILTER(Rutas,_xlfn._xlws.FILTER($B$2:$B$10000,$B$2:$B$10000&lt;&gt;"")=VALUE(INDEX(IdClientes,MATCH(AWT2,Clientes,0))))</f>
        <v>#VALUE!</v>
      </c>
      <c r="AWU3" s="28" t="e" cm="1" vm="1">
        <f t="array" ref="AWU3">_xlfn._xlws.FILTER(Rutas,_xlfn._xlws.FILTER($B$2:$B$10000,$B$2:$B$10000&lt;&gt;"")=VALUE(INDEX(IdClientes,MATCH(AWU2,Clientes,0))))</f>
        <v>#VALUE!</v>
      </c>
      <c r="AWV3" s="28" t="e" cm="1" vm="1">
        <f t="array" ref="AWV3">_xlfn._xlws.FILTER(Rutas,_xlfn._xlws.FILTER($B$2:$B$10000,$B$2:$B$10000&lt;&gt;"")=VALUE(INDEX(IdClientes,MATCH(AWV2,Clientes,0))))</f>
        <v>#VALUE!</v>
      </c>
      <c r="AWW3" s="28" t="e" cm="1" vm="1">
        <f t="array" ref="AWW3">_xlfn._xlws.FILTER(Rutas,_xlfn._xlws.FILTER($B$2:$B$10000,$B$2:$B$10000&lt;&gt;"")=VALUE(INDEX(IdClientes,MATCH(AWW2,Clientes,0))))</f>
        <v>#VALUE!</v>
      </c>
      <c r="AWX3" s="28" t="e" cm="1" vm="1">
        <f t="array" ref="AWX3">_xlfn._xlws.FILTER(Rutas,_xlfn._xlws.FILTER($B$2:$B$10000,$B$2:$B$10000&lt;&gt;"")=VALUE(INDEX(IdClientes,MATCH(AWX2,Clientes,0))))</f>
        <v>#VALUE!</v>
      </c>
      <c r="AWY3" s="28" t="e" cm="1" vm="1">
        <f t="array" ref="AWY3">_xlfn._xlws.FILTER(Rutas,_xlfn._xlws.FILTER($B$2:$B$10000,$B$2:$B$10000&lt;&gt;"")=VALUE(INDEX(IdClientes,MATCH(AWY2,Clientes,0))))</f>
        <v>#VALUE!</v>
      </c>
      <c r="AWZ3" s="28" t="e" cm="1" vm="1">
        <f t="array" ref="AWZ3">_xlfn._xlws.FILTER(Rutas,_xlfn._xlws.FILTER($B$2:$B$10000,$B$2:$B$10000&lt;&gt;"")=VALUE(INDEX(IdClientes,MATCH(AWZ2,Clientes,0))))</f>
        <v>#VALUE!</v>
      </c>
      <c r="AXA3" s="28" t="e" cm="1" vm="1">
        <f t="array" ref="AXA3">_xlfn._xlws.FILTER(Rutas,_xlfn._xlws.FILTER($B$2:$B$10000,$B$2:$B$10000&lt;&gt;"")=VALUE(INDEX(IdClientes,MATCH(AXA2,Clientes,0))))</f>
        <v>#VALUE!</v>
      </c>
      <c r="AXB3" s="28" t="e" cm="1" vm="1">
        <f t="array" ref="AXB3">_xlfn._xlws.FILTER(Rutas,_xlfn._xlws.FILTER($B$2:$B$10000,$B$2:$B$10000&lt;&gt;"")=VALUE(INDEX(IdClientes,MATCH(AXB2,Clientes,0))))</f>
        <v>#VALUE!</v>
      </c>
      <c r="AXC3" s="28" t="e" cm="1" vm="1">
        <f t="array" ref="AXC3">_xlfn._xlws.FILTER(Rutas,_xlfn._xlws.FILTER($B$2:$B$10000,$B$2:$B$10000&lt;&gt;"")=VALUE(INDEX(IdClientes,MATCH(AXC2,Clientes,0))))</f>
        <v>#VALUE!</v>
      </c>
      <c r="AXD3" s="28" t="e" cm="1" vm="1">
        <f t="array" ref="AXD3">_xlfn._xlws.FILTER(Rutas,_xlfn._xlws.FILTER($B$2:$B$10000,$B$2:$B$10000&lt;&gt;"")=VALUE(INDEX(IdClientes,MATCH(AXD2,Clientes,0))))</f>
        <v>#VALUE!</v>
      </c>
      <c r="AXE3" s="28" t="e" cm="1" vm="1">
        <f t="array" ref="AXE3">_xlfn._xlws.FILTER(Rutas,_xlfn._xlws.FILTER($B$2:$B$10000,$B$2:$B$10000&lt;&gt;"")=VALUE(INDEX(IdClientes,MATCH(AXE2,Clientes,0))))</f>
        <v>#VALUE!</v>
      </c>
      <c r="AXF3" s="28" t="e" cm="1" vm="1">
        <f t="array" ref="AXF3">_xlfn._xlws.FILTER(Rutas,_xlfn._xlws.FILTER($B$2:$B$10000,$B$2:$B$10000&lt;&gt;"")=VALUE(INDEX(IdClientes,MATCH(AXF2,Clientes,0))))</f>
        <v>#VALUE!</v>
      </c>
      <c r="AXG3" s="28" t="e" cm="1" vm="1">
        <f t="array" ref="AXG3">_xlfn._xlws.FILTER(Rutas,_xlfn._xlws.FILTER($B$2:$B$10000,$B$2:$B$10000&lt;&gt;"")=VALUE(INDEX(IdClientes,MATCH(AXG2,Clientes,0))))</f>
        <v>#VALUE!</v>
      </c>
      <c r="AXH3" s="28" t="e" cm="1" vm="1">
        <f t="array" ref="AXH3">_xlfn._xlws.FILTER(Rutas,_xlfn._xlws.FILTER($B$2:$B$10000,$B$2:$B$10000&lt;&gt;"")=VALUE(INDEX(IdClientes,MATCH(AXH2,Clientes,0))))</f>
        <v>#VALUE!</v>
      </c>
      <c r="AXI3" s="28" t="e" cm="1" vm="1">
        <f t="array" ref="AXI3">_xlfn._xlws.FILTER(Rutas,_xlfn._xlws.FILTER($B$2:$B$10000,$B$2:$B$10000&lt;&gt;"")=VALUE(INDEX(IdClientes,MATCH(AXI2,Clientes,0))))</f>
        <v>#VALUE!</v>
      </c>
      <c r="AXJ3" s="28" t="e" cm="1" vm="1">
        <f t="array" ref="AXJ3">_xlfn._xlws.FILTER(Rutas,_xlfn._xlws.FILTER($B$2:$B$10000,$B$2:$B$10000&lt;&gt;"")=VALUE(INDEX(IdClientes,MATCH(AXJ2,Clientes,0))))</f>
        <v>#VALUE!</v>
      </c>
      <c r="AXK3" s="28" t="e" cm="1" vm="1">
        <f t="array" ref="AXK3">_xlfn._xlws.FILTER(Rutas,_xlfn._xlws.FILTER($B$2:$B$10000,$B$2:$B$10000&lt;&gt;"")=VALUE(INDEX(IdClientes,MATCH(AXK2,Clientes,0))))</f>
        <v>#VALUE!</v>
      </c>
      <c r="AXL3" s="28" t="e" cm="1" vm="1">
        <f t="array" ref="AXL3">_xlfn._xlws.FILTER(Rutas,_xlfn._xlws.FILTER($B$2:$B$10000,$B$2:$B$10000&lt;&gt;"")=VALUE(INDEX(IdClientes,MATCH(AXL2,Clientes,0))))</f>
        <v>#VALUE!</v>
      </c>
      <c r="AXM3" s="28" t="e" cm="1" vm="1">
        <f t="array" ref="AXM3">_xlfn._xlws.FILTER(Rutas,_xlfn._xlws.FILTER($B$2:$B$10000,$B$2:$B$10000&lt;&gt;"")=VALUE(INDEX(IdClientes,MATCH(AXM2,Clientes,0))))</f>
        <v>#VALUE!</v>
      </c>
      <c r="AXN3" s="28" t="e" cm="1" vm="1">
        <f t="array" ref="AXN3">_xlfn._xlws.FILTER(Rutas,_xlfn._xlws.FILTER($B$2:$B$10000,$B$2:$B$10000&lt;&gt;"")=VALUE(INDEX(IdClientes,MATCH(AXN2,Clientes,0))))</f>
        <v>#VALUE!</v>
      </c>
      <c r="AXO3" s="28" t="e" cm="1" vm="1">
        <f t="array" ref="AXO3">_xlfn._xlws.FILTER(Rutas,_xlfn._xlws.FILTER($B$2:$B$10000,$B$2:$B$10000&lt;&gt;"")=VALUE(INDEX(IdClientes,MATCH(AXO2,Clientes,0))))</f>
        <v>#VALUE!</v>
      </c>
      <c r="AXP3" s="28" t="e" cm="1" vm="1">
        <f t="array" ref="AXP3">_xlfn._xlws.FILTER(Rutas,_xlfn._xlws.FILTER($B$2:$B$10000,$B$2:$B$10000&lt;&gt;"")=VALUE(INDEX(IdClientes,MATCH(AXP2,Clientes,0))))</f>
        <v>#VALUE!</v>
      </c>
      <c r="AXQ3" s="28" t="e" cm="1" vm="1">
        <f t="array" ref="AXQ3">_xlfn._xlws.FILTER(Rutas,_xlfn._xlws.FILTER($B$2:$B$10000,$B$2:$B$10000&lt;&gt;"")=VALUE(INDEX(IdClientes,MATCH(AXQ2,Clientes,0))))</f>
        <v>#VALUE!</v>
      </c>
      <c r="AXR3" s="28" t="e" cm="1" vm="1">
        <f t="array" ref="AXR3">_xlfn._xlws.FILTER(Rutas,_xlfn._xlws.FILTER($B$2:$B$10000,$B$2:$B$10000&lt;&gt;"")=VALUE(INDEX(IdClientes,MATCH(AXR2,Clientes,0))))</f>
        <v>#VALUE!</v>
      </c>
      <c r="AXS3" s="28" t="e" cm="1" vm="1">
        <f t="array" ref="AXS3">_xlfn._xlws.FILTER(Rutas,_xlfn._xlws.FILTER($B$2:$B$10000,$B$2:$B$10000&lt;&gt;"")=VALUE(INDEX(IdClientes,MATCH(AXS2,Clientes,0))))</f>
        <v>#VALUE!</v>
      </c>
      <c r="AXT3" s="28" t="e" cm="1" vm="1">
        <f t="array" ref="AXT3">_xlfn._xlws.FILTER(Rutas,_xlfn._xlws.FILTER($B$2:$B$10000,$B$2:$B$10000&lt;&gt;"")=VALUE(INDEX(IdClientes,MATCH(AXT2,Clientes,0))))</f>
        <v>#VALUE!</v>
      </c>
      <c r="AXU3" s="28" t="e" cm="1" vm="1">
        <f t="array" ref="AXU3">_xlfn._xlws.FILTER(Rutas,_xlfn._xlws.FILTER($B$2:$B$10000,$B$2:$B$10000&lt;&gt;"")=VALUE(INDEX(IdClientes,MATCH(AXU2,Clientes,0))))</f>
        <v>#VALUE!</v>
      </c>
      <c r="AXV3" s="28" t="e" cm="1" vm="1">
        <f t="array" ref="AXV3">_xlfn._xlws.FILTER(Rutas,_xlfn._xlws.FILTER($B$2:$B$10000,$B$2:$B$10000&lt;&gt;"")=VALUE(INDEX(IdClientes,MATCH(AXV2,Clientes,0))))</f>
        <v>#VALUE!</v>
      </c>
      <c r="AXW3" s="28" t="e" cm="1" vm="1">
        <f t="array" ref="AXW3">_xlfn._xlws.FILTER(Rutas,_xlfn._xlws.FILTER($B$2:$B$10000,$B$2:$B$10000&lt;&gt;"")=VALUE(INDEX(IdClientes,MATCH(AXW2,Clientes,0))))</f>
        <v>#VALUE!</v>
      </c>
      <c r="AXX3" s="28" t="e" cm="1" vm="1">
        <f t="array" ref="AXX3">_xlfn._xlws.FILTER(Rutas,_xlfn._xlws.FILTER($B$2:$B$10000,$B$2:$B$10000&lt;&gt;"")=VALUE(INDEX(IdClientes,MATCH(AXX2,Clientes,0))))</f>
        <v>#VALUE!</v>
      </c>
      <c r="AXY3" s="28" t="e" cm="1" vm="1">
        <f t="array" ref="AXY3">_xlfn._xlws.FILTER(Rutas,_xlfn._xlws.FILTER($B$2:$B$10000,$B$2:$B$10000&lt;&gt;"")=VALUE(INDEX(IdClientes,MATCH(AXY2,Clientes,0))))</f>
        <v>#VALUE!</v>
      </c>
      <c r="AXZ3" s="28" t="e" cm="1" vm="1">
        <f t="array" ref="AXZ3">_xlfn._xlws.FILTER(Rutas,_xlfn._xlws.FILTER($B$2:$B$10000,$B$2:$B$10000&lt;&gt;"")=VALUE(INDEX(IdClientes,MATCH(AXZ2,Clientes,0))))</f>
        <v>#VALUE!</v>
      </c>
      <c r="AYA3" s="28" t="e" cm="1" vm="1">
        <f t="array" ref="AYA3">_xlfn._xlws.FILTER(Rutas,_xlfn._xlws.FILTER($B$2:$B$10000,$B$2:$B$10000&lt;&gt;"")=VALUE(INDEX(IdClientes,MATCH(AYA2,Clientes,0))))</f>
        <v>#VALUE!</v>
      </c>
      <c r="AYB3" s="28" t="e" cm="1" vm="1">
        <f t="array" ref="AYB3">_xlfn._xlws.FILTER(Rutas,_xlfn._xlws.FILTER($B$2:$B$10000,$B$2:$B$10000&lt;&gt;"")=VALUE(INDEX(IdClientes,MATCH(AYB2,Clientes,0))))</f>
        <v>#VALUE!</v>
      </c>
      <c r="AYC3" s="28" t="e" cm="1" vm="1">
        <f t="array" ref="AYC3">_xlfn._xlws.FILTER(Rutas,_xlfn._xlws.FILTER($B$2:$B$10000,$B$2:$B$10000&lt;&gt;"")=VALUE(INDEX(IdClientes,MATCH(AYC2,Clientes,0))))</f>
        <v>#VALUE!</v>
      </c>
      <c r="AYD3" s="28" t="e" cm="1" vm="1">
        <f t="array" ref="AYD3">_xlfn._xlws.FILTER(Rutas,_xlfn._xlws.FILTER($B$2:$B$10000,$B$2:$B$10000&lt;&gt;"")=VALUE(INDEX(IdClientes,MATCH(AYD2,Clientes,0))))</f>
        <v>#VALUE!</v>
      </c>
      <c r="AYE3" s="28" t="e" cm="1" vm="1">
        <f t="array" ref="AYE3">_xlfn._xlws.FILTER(Rutas,_xlfn._xlws.FILTER($B$2:$B$10000,$B$2:$B$10000&lt;&gt;"")=VALUE(INDEX(IdClientes,MATCH(AYE2,Clientes,0))))</f>
        <v>#VALUE!</v>
      </c>
      <c r="AYF3" s="28" t="e" cm="1" vm="1">
        <f t="array" ref="AYF3">_xlfn._xlws.FILTER(Rutas,_xlfn._xlws.FILTER($B$2:$B$10000,$B$2:$B$10000&lt;&gt;"")=VALUE(INDEX(IdClientes,MATCH(AYF2,Clientes,0))))</f>
        <v>#VALUE!</v>
      </c>
      <c r="AYG3" s="28" t="e" cm="1" vm="1">
        <f t="array" ref="AYG3">_xlfn._xlws.FILTER(Rutas,_xlfn._xlws.FILTER($B$2:$B$10000,$B$2:$B$10000&lt;&gt;"")=VALUE(INDEX(IdClientes,MATCH(AYG2,Clientes,0))))</f>
        <v>#VALUE!</v>
      </c>
      <c r="AYH3" s="28" t="e" cm="1" vm="1">
        <f t="array" ref="AYH3">_xlfn._xlws.FILTER(Rutas,_xlfn._xlws.FILTER($B$2:$B$10000,$B$2:$B$10000&lt;&gt;"")=VALUE(INDEX(IdClientes,MATCH(AYH2,Clientes,0))))</f>
        <v>#VALUE!</v>
      </c>
      <c r="AYI3" s="28" t="e" cm="1" vm="1">
        <f t="array" ref="AYI3">_xlfn._xlws.FILTER(Rutas,_xlfn._xlws.FILTER($B$2:$B$10000,$B$2:$B$10000&lt;&gt;"")=VALUE(INDEX(IdClientes,MATCH(AYI2,Clientes,0))))</f>
        <v>#VALUE!</v>
      </c>
      <c r="AYJ3" s="28" t="e" cm="1" vm="1">
        <f t="array" ref="AYJ3">_xlfn._xlws.FILTER(Rutas,_xlfn._xlws.FILTER($B$2:$B$10000,$B$2:$B$10000&lt;&gt;"")=VALUE(INDEX(IdClientes,MATCH(AYJ2,Clientes,0))))</f>
        <v>#VALUE!</v>
      </c>
      <c r="AYK3" s="28" t="e" cm="1" vm="1">
        <f t="array" ref="AYK3">_xlfn._xlws.FILTER(Rutas,_xlfn._xlws.FILTER($B$2:$B$10000,$B$2:$B$10000&lt;&gt;"")=VALUE(INDEX(IdClientes,MATCH(AYK2,Clientes,0))))</f>
        <v>#VALUE!</v>
      </c>
      <c r="AYL3" s="28" t="e" cm="1" vm="1">
        <f t="array" ref="AYL3">_xlfn._xlws.FILTER(Rutas,_xlfn._xlws.FILTER($B$2:$B$10000,$B$2:$B$10000&lt;&gt;"")=VALUE(INDEX(IdClientes,MATCH(AYL2,Clientes,0))))</f>
        <v>#VALUE!</v>
      </c>
      <c r="AYM3" s="28" t="e" cm="1" vm="1">
        <f t="array" ref="AYM3">_xlfn._xlws.FILTER(Rutas,_xlfn._xlws.FILTER($B$2:$B$10000,$B$2:$B$10000&lt;&gt;"")=VALUE(INDEX(IdClientes,MATCH(AYM2,Clientes,0))))</f>
        <v>#VALUE!</v>
      </c>
      <c r="AYN3" s="28" t="e" cm="1" vm="1">
        <f t="array" ref="AYN3">_xlfn._xlws.FILTER(Rutas,_xlfn._xlws.FILTER($B$2:$B$10000,$B$2:$B$10000&lt;&gt;"")=VALUE(INDEX(IdClientes,MATCH(AYN2,Clientes,0))))</f>
        <v>#VALUE!</v>
      </c>
      <c r="AYO3" s="28" t="e" cm="1" vm="1">
        <f t="array" ref="AYO3">_xlfn._xlws.FILTER(Rutas,_xlfn._xlws.FILTER($B$2:$B$10000,$B$2:$B$10000&lt;&gt;"")=VALUE(INDEX(IdClientes,MATCH(AYO2,Clientes,0))))</f>
        <v>#VALUE!</v>
      </c>
      <c r="AYP3" s="28" t="e" cm="1" vm="1">
        <f t="array" ref="AYP3">_xlfn._xlws.FILTER(Rutas,_xlfn._xlws.FILTER($B$2:$B$10000,$B$2:$B$10000&lt;&gt;"")=VALUE(INDEX(IdClientes,MATCH(AYP2,Clientes,0))))</f>
        <v>#VALUE!</v>
      </c>
      <c r="AYQ3" s="28" t="e" cm="1" vm="1">
        <f t="array" ref="AYQ3">_xlfn._xlws.FILTER(Rutas,_xlfn._xlws.FILTER($B$2:$B$10000,$B$2:$B$10000&lt;&gt;"")=VALUE(INDEX(IdClientes,MATCH(AYQ2,Clientes,0))))</f>
        <v>#VALUE!</v>
      </c>
      <c r="AYR3" s="28" t="e" cm="1" vm="1">
        <f t="array" ref="AYR3">_xlfn._xlws.FILTER(Rutas,_xlfn._xlws.FILTER($B$2:$B$10000,$B$2:$B$10000&lt;&gt;"")=VALUE(INDEX(IdClientes,MATCH(AYR2,Clientes,0))))</f>
        <v>#VALUE!</v>
      </c>
      <c r="AYS3" s="28" t="e" cm="1" vm="1">
        <f t="array" ref="AYS3">_xlfn._xlws.FILTER(Rutas,_xlfn._xlws.FILTER($B$2:$B$10000,$B$2:$B$10000&lt;&gt;"")=VALUE(INDEX(IdClientes,MATCH(AYS2,Clientes,0))))</f>
        <v>#VALUE!</v>
      </c>
      <c r="AYT3" s="28" t="e" cm="1" vm="1">
        <f t="array" ref="AYT3">_xlfn._xlws.FILTER(Rutas,_xlfn._xlws.FILTER($B$2:$B$10000,$B$2:$B$10000&lt;&gt;"")=VALUE(INDEX(IdClientes,MATCH(AYT2,Clientes,0))))</f>
        <v>#VALUE!</v>
      </c>
      <c r="AYU3" s="28" t="e" cm="1" vm="1">
        <f t="array" ref="AYU3">_xlfn._xlws.FILTER(Rutas,_xlfn._xlws.FILTER($B$2:$B$10000,$B$2:$B$10000&lt;&gt;"")=VALUE(INDEX(IdClientes,MATCH(AYU2,Clientes,0))))</f>
        <v>#VALUE!</v>
      </c>
      <c r="AYV3" s="28" t="e" cm="1" vm="1">
        <f t="array" ref="AYV3">_xlfn._xlws.FILTER(Rutas,_xlfn._xlws.FILTER($B$2:$B$10000,$B$2:$B$10000&lt;&gt;"")=VALUE(INDEX(IdClientes,MATCH(AYV2,Clientes,0))))</f>
        <v>#VALUE!</v>
      </c>
      <c r="AYW3" s="28" t="e" cm="1" vm="1">
        <f t="array" ref="AYW3">_xlfn._xlws.FILTER(Rutas,_xlfn._xlws.FILTER($B$2:$B$10000,$B$2:$B$10000&lt;&gt;"")=VALUE(INDEX(IdClientes,MATCH(AYW2,Clientes,0))))</f>
        <v>#VALUE!</v>
      </c>
      <c r="AYX3" s="28" t="e" cm="1" vm="1">
        <f t="array" ref="AYX3">_xlfn._xlws.FILTER(Rutas,_xlfn._xlws.FILTER($B$2:$B$10000,$B$2:$B$10000&lt;&gt;"")=VALUE(INDEX(IdClientes,MATCH(AYX2,Clientes,0))))</f>
        <v>#VALUE!</v>
      </c>
      <c r="AYY3" s="28" t="e" cm="1" vm="1">
        <f t="array" ref="AYY3">_xlfn._xlws.FILTER(Rutas,_xlfn._xlws.FILTER($B$2:$B$10000,$B$2:$B$10000&lt;&gt;"")=VALUE(INDEX(IdClientes,MATCH(AYY2,Clientes,0))))</f>
        <v>#VALUE!</v>
      </c>
      <c r="AYZ3" s="28" t="e" cm="1" vm="1">
        <f t="array" ref="AYZ3">_xlfn._xlws.FILTER(Rutas,_xlfn._xlws.FILTER($B$2:$B$10000,$B$2:$B$10000&lt;&gt;"")=VALUE(INDEX(IdClientes,MATCH(AYZ2,Clientes,0))))</f>
        <v>#VALUE!</v>
      </c>
      <c r="AZA3" s="28" t="e" cm="1" vm="1">
        <f t="array" ref="AZA3">_xlfn._xlws.FILTER(Rutas,_xlfn._xlws.FILTER($B$2:$B$10000,$B$2:$B$10000&lt;&gt;"")=VALUE(INDEX(IdClientes,MATCH(AZA2,Clientes,0))))</f>
        <v>#VALUE!</v>
      </c>
      <c r="AZB3" s="28" t="e" cm="1" vm="1">
        <f t="array" ref="AZB3">_xlfn._xlws.FILTER(Rutas,_xlfn._xlws.FILTER($B$2:$B$10000,$B$2:$B$10000&lt;&gt;"")=VALUE(INDEX(IdClientes,MATCH(AZB2,Clientes,0))))</f>
        <v>#VALUE!</v>
      </c>
      <c r="AZC3" s="28" t="e" cm="1" vm="1">
        <f t="array" ref="AZC3">_xlfn._xlws.FILTER(Rutas,_xlfn._xlws.FILTER($B$2:$B$10000,$B$2:$B$10000&lt;&gt;"")=VALUE(INDEX(IdClientes,MATCH(AZC2,Clientes,0))))</f>
        <v>#VALUE!</v>
      </c>
      <c r="AZD3" s="28" t="e" cm="1" vm="1">
        <f t="array" ref="AZD3">_xlfn._xlws.FILTER(Rutas,_xlfn._xlws.FILTER($B$2:$B$10000,$B$2:$B$10000&lt;&gt;"")=VALUE(INDEX(IdClientes,MATCH(AZD2,Clientes,0))))</f>
        <v>#VALUE!</v>
      </c>
      <c r="AZE3" s="28" t="e" cm="1" vm="1">
        <f t="array" ref="AZE3">_xlfn._xlws.FILTER(Rutas,_xlfn._xlws.FILTER($B$2:$B$10000,$B$2:$B$10000&lt;&gt;"")=VALUE(INDEX(IdClientes,MATCH(AZE2,Clientes,0))))</f>
        <v>#VALUE!</v>
      </c>
      <c r="AZF3" s="28" t="e" cm="1" vm="1">
        <f t="array" ref="AZF3">_xlfn._xlws.FILTER(Rutas,_xlfn._xlws.FILTER($B$2:$B$10000,$B$2:$B$10000&lt;&gt;"")=VALUE(INDEX(IdClientes,MATCH(AZF2,Clientes,0))))</f>
        <v>#VALUE!</v>
      </c>
      <c r="AZG3" s="28" t="e" cm="1" vm="1">
        <f t="array" ref="AZG3">_xlfn._xlws.FILTER(Rutas,_xlfn._xlws.FILTER($B$2:$B$10000,$B$2:$B$10000&lt;&gt;"")=VALUE(INDEX(IdClientes,MATCH(AZG2,Clientes,0))))</f>
        <v>#VALUE!</v>
      </c>
      <c r="AZH3" s="28" t="e" cm="1" vm="1">
        <f t="array" ref="AZH3">_xlfn._xlws.FILTER(Rutas,_xlfn._xlws.FILTER($B$2:$B$10000,$B$2:$B$10000&lt;&gt;"")=VALUE(INDEX(IdClientes,MATCH(AZH2,Clientes,0))))</f>
        <v>#VALUE!</v>
      </c>
      <c r="AZI3" s="28" t="e" cm="1" vm="1">
        <f t="array" ref="AZI3">_xlfn._xlws.FILTER(Rutas,_xlfn._xlws.FILTER($B$2:$B$10000,$B$2:$B$10000&lt;&gt;"")=VALUE(INDEX(IdClientes,MATCH(AZI2,Clientes,0))))</f>
        <v>#VALUE!</v>
      </c>
      <c r="AZJ3" s="28" t="e" cm="1" vm="1">
        <f t="array" ref="AZJ3">_xlfn._xlws.FILTER(Rutas,_xlfn._xlws.FILTER($B$2:$B$10000,$B$2:$B$10000&lt;&gt;"")=VALUE(INDEX(IdClientes,MATCH(AZJ2,Clientes,0))))</f>
        <v>#VALUE!</v>
      </c>
      <c r="AZK3" s="28" t="e" cm="1" vm="1">
        <f t="array" ref="AZK3">_xlfn._xlws.FILTER(Rutas,_xlfn._xlws.FILTER($B$2:$B$10000,$B$2:$B$10000&lt;&gt;"")=VALUE(INDEX(IdClientes,MATCH(AZK2,Clientes,0))))</f>
        <v>#VALUE!</v>
      </c>
      <c r="AZL3" s="28" t="e" cm="1" vm="1">
        <f t="array" ref="AZL3">_xlfn._xlws.FILTER(Rutas,_xlfn._xlws.FILTER($B$2:$B$10000,$B$2:$B$10000&lt;&gt;"")=VALUE(INDEX(IdClientes,MATCH(AZL2,Clientes,0))))</f>
        <v>#VALUE!</v>
      </c>
      <c r="AZM3" s="28" t="e" cm="1" vm="1">
        <f t="array" ref="AZM3">_xlfn._xlws.FILTER(Rutas,_xlfn._xlws.FILTER($B$2:$B$10000,$B$2:$B$10000&lt;&gt;"")=VALUE(INDEX(IdClientes,MATCH(AZM2,Clientes,0))))</f>
        <v>#VALUE!</v>
      </c>
      <c r="AZN3" s="28" t="e" cm="1" vm="1">
        <f t="array" ref="AZN3">_xlfn._xlws.FILTER(Rutas,_xlfn._xlws.FILTER($B$2:$B$10000,$B$2:$B$10000&lt;&gt;"")=VALUE(INDEX(IdClientes,MATCH(AZN2,Clientes,0))))</f>
        <v>#VALUE!</v>
      </c>
      <c r="AZO3" s="28" t="e" cm="1" vm="1">
        <f t="array" ref="AZO3">_xlfn._xlws.FILTER(Rutas,_xlfn._xlws.FILTER($B$2:$B$10000,$B$2:$B$10000&lt;&gt;"")=VALUE(INDEX(IdClientes,MATCH(AZO2,Clientes,0))))</f>
        <v>#VALUE!</v>
      </c>
      <c r="AZP3" s="28" t="e" cm="1" vm="1">
        <f t="array" ref="AZP3">_xlfn._xlws.FILTER(Rutas,_xlfn._xlws.FILTER($B$2:$B$10000,$B$2:$B$10000&lt;&gt;"")=VALUE(INDEX(IdClientes,MATCH(AZP2,Clientes,0))))</f>
        <v>#VALUE!</v>
      </c>
      <c r="AZQ3" s="28" t="e" cm="1" vm="1">
        <f t="array" ref="AZQ3">_xlfn._xlws.FILTER(Rutas,_xlfn._xlws.FILTER($B$2:$B$10000,$B$2:$B$10000&lt;&gt;"")=VALUE(INDEX(IdClientes,MATCH(AZQ2,Clientes,0))))</f>
        <v>#VALUE!</v>
      </c>
      <c r="AZR3" s="28" t="e" cm="1" vm="1">
        <f t="array" ref="AZR3">_xlfn._xlws.FILTER(Rutas,_xlfn._xlws.FILTER($B$2:$B$10000,$B$2:$B$10000&lt;&gt;"")=VALUE(INDEX(IdClientes,MATCH(AZR2,Clientes,0))))</f>
        <v>#VALUE!</v>
      </c>
      <c r="AZS3" s="28" t="e" cm="1" vm="1">
        <f t="array" ref="AZS3">_xlfn._xlws.FILTER(Rutas,_xlfn._xlws.FILTER($B$2:$B$10000,$B$2:$B$10000&lt;&gt;"")=VALUE(INDEX(IdClientes,MATCH(AZS2,Clientes,0))))</f>
        <v>#VALUE!</v>
      </c>
      <c r="AZT3" s="28" t="e" cm="1" vm="1">
        <f t="array" ref="AZT3">_xlfn._xlws.FILTER(Rutas,_xlfn._xlws.FILTER($B$2:$B$10000,$B$2:$B$10000&lt;&gt;"")=VALUE(INDEX(IdClientes,MATCH(AZT2,Clientes,0))))</f>
        <v>#VALUE!</v>
      </c>
      <c r="AZU3" s="28" t="e" cm="1" vm="1">
        <f t="array" ref="AZU3">_xlfn._xlws.FILTER(Rutas,_xlfn._xlws.FILTER($B$2:$B$10000,$B$2:$B$10000&lt;&gt;"")=VALUE(INDEX(IdClientes,MATCH(AZU2,Clientes,0))))</f>
        <v>#VALUE!</v>
      </c>
      <c r="AZV3" s="28" t="e" cm="1" vm="1">
        <f t="array" ref="AZV3">_xlfn._xlws.FILTER(Rutas,_xlfn._xlws.FILTER($B$2:$B$10000,$B$2:$B$10000&lt;&gt;"")=VALUE(INDEX(IdClientes,MATCH(AZV2,Clientes,0))))</f>
        <v>#VALUE!</v>
      </c>
      <c r="AZW3" s="28" t="e" cm="1" vm="1">
        <f t="array" ref="AZW3">_xlfn._xlws.FILTER(Rutas,_xlfn._xlws.FILTER($B$2:$B$10000,$B$2:$B$10000&lt;&gt;"")=VALUE(INDEX(IdClientes,MATCH(AZW2,Clientes,0))))</f>
        <v>#VALUE!</v>
      </c>
      <c r="AZX3" s="28" t="e" cm="1" vm="1">
        <f t="array" ref="AZX3">_xlfn._xlws.FILTER(Rutas,_xlfn._xlws.FILTER($B$2:$B$10000,$B$2:$B$10000&lt;&gt;"")=VALUE(INDEX(IdClientes,MATCH(AZX2,Clientes,0))))</f>
        <v>#VALUE!</v>
      </c>
      <c r="AZY3" s="28" t="e" cm="1" vm="1">
        <f t="array" ref="AZY3">_xlfn._xlws.FILTER(Rutas,_xlfn._xlws.FILTER($B$2:$B$10000,$B$2:$B$10000&lt;&gt;"")=VALUE(INDEX(IdClientes,MATCH(AZY2,Clientes,0))))</f>
        <v>#VALUE!</v>
      </c>
      <c r="AZZ3" s="28" t="e" cm="1" vm="1">
        <f t="array" ref="AZZ3">_xlfn._xlws.FILTER(Rutas,_xlfn._xlws.FILTER($B$2:$B$10000,$B$2:$B$10000&lt;&gt;"")=VALUE(INDEX(IdClientes,MATCH(AZZ2,Clientes,0))))</f>
        <v>#VALUE!</v>
      </c>
      <c r="BAA3" s="28" t="e" cm="1" vm="1">
        <f t="array" ref="BAA3">_xlfn._xlws.FILTER(Rutas,_xlfn._xlws.FILTER($B$2:$B$10000,$B$2:$B$10000&lt;&gt;"")=VALUE(INDEX(IdClientes,MATCH(BAA2,Clientes,0))))</f>
        <v>#VALUE!</v>
      </c>
      <c r="BAB3" s="28" t="e" cm="1" vm="1">
        <f t="array" ref="BAB3">_xlfn._xlws.FILTER(Rutas,_xlfn._xlws.FILTER($B$2:$B$10000,$B$2:$B$10000&lt;&gt;"")=VALUE(INDEX(IdClientes,MATCH(BAB2,Clientes,0))))</f>
        <v>#VALUE!</v>
      </c>
      <c r="BAC3" s="28" t="e" cm="1" vm="1">
        <f t="array" ref="BAC3">_xlfn._xlws.FILTER(Rutas,_xlfn._xlws.FILTER($B$2:$B$10000,$B$2:$B$10000&lt;&gt;"")=VALUE(INDEX(IdClientes,MATCH(BAC2,Clientes,0))))</f>
        <v>#VALUE!</v>
      </c>
      <c r="BAD3" s="28" t="e" cm="1" vm="1">
        <f t="array" ref="BAD3">_xlfn._xlws.FILTER(Rutas,_xlfn._xlws.FILTER($B$2:$B$10000,$B$2:$B$10000&lt;&gt;"")=VALUE(INDEX(IdClientes,MATCH(BAD2,Clientes,0))))</f>
        <v>#VALUE!</v>
      </c>
      <c r="BAE3" s="28" t="e" cm="1" vm="1">
        <f t="array" ref="BAE3">_xlfn._xlws.FILTER(Rutas,_xlfn._xlws.FILTER($B$2:$B$10000,$B$2:$B$10000&lt;&gt;"")=VALUE(INDEX(IdClientes,MATCH(BAE2,Clientes,0))))</f>
        <v>#VALUE!</v>
      </c>
      <c r="BAF3" s="28" t="e" cm="1" vm="1">
        <f t="array" ref="BAF3">_xlfn._xlws.FILTER(Rutas,_xlfn._xlws.FILTER($B$2:$B$10000,$B$2:$B$10000&lt;&gt;"")=VALUE(INDEX(IdClientes,MATCH(BAF2,Clientes,0))))</f>
        <v>#VALUE!</v>
      </c>
      <c r="BAG3" s="28" t="e" cm="1" vm="1">
        <f t="array" ref="BAG3">_xlfn._xlws.FILTER(Rutas,_xlfn._xlws.FILTER($B$2:$B$10000,$B$2:$B$10000&lt;&gt;"")=VALUE(INDEX(IdClientes,MATCH(BAG2,Clientes,0))))</f>
        <v>#VALUE!</v>
      </c>
      <c r="BAH3" s="28" t="e" cm="1" vm="1">
        <f t="array" ref="BAH3">_xlfn._xlws.FILTER(Rutas,_xlfn._xlws.FILTER($B$2:$B$10000,$B$2:$B$10000&lt;&gt;"")=VALUE(INDEX(IdClientes,MATCH(BAH2,Clientes,0))))</f>
        <v>#VALUE!</v>
      </c>
      <c r="BAI3" s="28" t="e" cm="1" vm="1">
        <f t="array" ref="BAI3">_xlfn._xlws.FILTER(Rutas,_xlfn._xlws.FILTER($B$2:$B$10000,$B$2:$B$10000&lt;&gt;"")=VALUE(INDEX(IdClientes,MATCH(BAI2,Clientes,0))))</f>
        <v>#VALUE!</v>
      </c>
      <c r="BAJ3" s="28" t="e" cm="1" vm="1">
        <f t="array" ref="BAJ3">_xlfn._xlws.FILTER(Rutas,_xlfn._xlws.FILTER($B$2:$B$10000,$B$2:$B$10000&lt;&gt;"")=VALUE(INDEX(IdClientes,MATCH(BAJ2,Clientes,0))))</f>
        <v>#VALUE!</v>
      </c>
      <c r="BAK3" s="28" t="e" cm="1" vm="1">
        <f t="array" ref="BAK3">_xlfn._xlws.FILTER(Rutas,_xlfn._xlws.FILTER($B$2:$B$10000,$B$2:$B$10000&lt;&gt;"")=VALUE(INDEX(IdClientes,MATCH(BAK2,Clientes,0))))</f>
        <v>#VALUE!</v>
      </c>
      <c r="BAL3" s="28" t="e" cm="1" vm="1">
        <f t="array" ref="BAL3">_xlfn._xlws.FILTER(Rutas,_xlfn._xlws.FILTER($B$2:$B$10000,$B$2:$B$10000&lt;&gt;"")=VALUE(INDEX(IdClientes,MATCH(BAL2,Clientes,0))))</f>
        <v>#VALUE!</v>
      </c>
      <c r="BAM3" s="28" t="e" cm="1" vm="1">
        <f t="array" ref="BAM3">_xlfn._xlws.FILTER(Rutas,_xlfn._xlws.FILTER($B$2:$B$10000,$B$2:$B$10000&lt;&gt;"")=VALUE(INDEX(IdClientes,MATCH(BAM2,Clientes,0))))</f>
        <v>#VALUE!</v>
      </c>
      <c r="BAN3" s="28" t="e" cm="1" vm="1">
        <f t="array" ref="BAN3">_xlfn._xlws.FILTER(Rutas,_xlfn._xlws.FILTER($B$2:$B$10000,$B$2:$B$10000&lt;&gt;"")=VALUE(INDEX(IdClientes,MATCH(BAN2,Clientes,0))))</f>
        <v>#VALUE!</v>
      </c>
      <c r="BAO3" s="28" t="e" cm="1" vm="1">
        <f t="array" ref="BAO3">_xlfn._xlws.FILTER(Rutas,_xlfn._xlws.FILTER($B$2:$B$10000,$B$2:$B$10000&lt;&gt;"")=VALUE(INDEX(IdClientes,MATCH(BAO2,Clientes,0))))</f>
        <v>#VALUE!</v>
      </c>
      <c r="BAP3" s="28" t="e" cm="1" vm="1">
        <f t="array" ref="BAP3">_xlfn._xlws.FILTER(Rutas,_xlfn._xlws.FILTER($B$2:$B$10000,$B$2:$B$10000&lt;&gt;"")=VALUE(INDEX(IdClientes,MATCH(BAP2,Clientes,0))))</f>
        <v>#VALUE!</v>
      </c>
      <c r="BAQ3" s="28" t="e" cm="1" vm="1">
        <f t="array" ref="BAQ3">_xlfn._xlws.FILTER(Rutas,_xlfn._xlws.FILTER($B$2:$B$10000,$B$2:$B$10000&lt;&gt;"")=VALUE(INDEX(IdClientes,MATCH(BAQ2,Clientes,0))))</f>
        <v>#VALUE!</v>
      </c>
      <c r="BAR3" s="28" t="e" cm="1" vm="1">
        <f t="array" ref="BAR3">_xlfn._xlws.FILTER(Rutas,_xlfn._xlws.FILTER($B$2:$B$10000,$B$2:$B$10000&lt;&gt;"")=VALUE(INDEX(IdClientes,MATCH(BAR2,Clientes,0))))</f>
        <v>#VALUE!</v>
      </c>
      <c r="BAS3" s="28" t="e" cm="1" vm="1">
        <f t="array" ref="BAS3">_xlfn._xlws.FILTER(Rutas,_xlfn._xlws.FILTER($B$2:$B$10000,$B$2:$B$10000&lt;&gt;"")=VALUE(INDEX(IdClientes,MATCH(BAS2,Clientes,0))))</f>
        <v>#VALUE!</v>
      </c>
      <c r="BAT3" s="28" t="e" cm="1" vm="1">
        <f t="array" ref="BAT3">_xlfn._xlws.FILTER(Rutas,_xlfn._xlws.FILTER($B$2:$B$10000,$B$2:$B$10000&lt;&gt;"")=VALUE(INDEX(IdClientes,MATCH(BAT2,Clientes,0))))</f>
        <v>#VALUE!</v>
      </c>
      <c r="BAU3" s="28" t="e" cm="1" vm="1">
        <f t="array" ref="BAU3">_xlfn._xlws.FILTER(Rutas,_xlfn._xlws.FILTER($B$2:$B$10000,$B$2:$B$10000&lt;&gt;"")=VALUE(INDEX(IdClientes,MATCH(BAU2,Clientes,0))))</f>
        <v>#VALUE!</v>
      </c>
      <c r="BAV3" s="28" t="e" cm="1" vm="1">
        <f t="array" ref="BAV3">_xlfn._xlws.FILTER(Rutas,_xlfn._xlws.FILTER($B$2:$B$10000,$B$2:$B$10000&lt;&gt;"")=VALUE(INDEX(IdClientes,MATCH(BAV2,Clientes,0))))</f>
        <v>#VALUE!</v>
      </c>
      <c r="BAW3" s="28" t="e" cm="1" vm="1">
        <f t="array" ref="BAW3">_xlfn._xlws.FILTER(Rutas,_xlfn._xlws.FILTER($B$2:$B$10000,$B$2:$B$10000&lt;&gt;"")=VALUE(INDEX(IdClientes,MATCH(BAW2,Clientes,0))))</f>
        <v>#VALUE!</v>
      </c>
      <c r="BAX3" s="28" t="e" cm="1" vm="1">
        <f t="array" ref="BAX3">_xlfn._xlws.FILTER(Rutas,_xlfn._xlws.FILTER($B$2:$B$10000,$B$2:$B$10000&lt;&gt;"")=VALUE(INDEX(IdClientes,MATCH(BAX2,Clientes,0))))</f>
        <v>#VALUE!</v>
      </c>
      <c r="BAY3" s="28" t="e" cm="1" vm="1">
        <f t="array" ref="BAY3">_xlfn._xlws.FILTER(Rutas,_xlfn._xlws.FILTER($B$2:$B$10000,$B$2:$B$10000&lt;&gt;"")=VALUE(INDEX(IdClientes,MATCH(BAY2,Clientes,0))))</f>
        <v>#VALUE!</v>
      </c>
      <c r="BAZ3" s="28" t="e" cm="1" vm="1">
        <f t="array" ref="BAZ3">_xlfn._xlws.FILTER(Rutas,_xlfn._xlws.FILTER($B$2:$B$10000,$B$2:$B$10000&lt;&gt;"")=VALUE(INDEX(IdClientes,MATCH(BAZ2,Clientes,0))))</f>
        <v>#VALUE!</v>
      </c>
      <c r="BBA3" s="28" t="e" cm="1" vm="1">
        <f t="array" ref="BBA3">_xlfn._xlws.FILTER(Rutas,_xlfn._xlws.FILTER($B$2:$B$10000,$B$2:$B$10000&lt;&gt;"")=VALUE(INDEX(IdClientes,MATCH(BBA2,Clientes,0))))</f>
        <v>#VALUE!</v>
      </c>
      <c r="BBB3" s="28" t="e" cm="1" vm="1">
        <f t="array" ref="BBB3">_xlfn._xlws.FILTER(Rutas,_xlfn._xlws.FILTER($B$2:$B$10000,$B$2:$B$10000&lt;&gt;"")=VALUE(INDEX(IdClientes,MATCH(BBB2,Clientes,0))))</f>
        <v>#VALUE!</v>
      </c>
      <c r="BBC3" s="28" t="e" cm="1" vm="1">
        <f t="array" ref="BBC3">_xlfn._xlws.FILTER(Rutas,_xlfn._xlws.FILTER($B$2:$B$10000,$B$2:$B$10000&lt;&gt;"")=VALUE(INDEX(IdClientes,MATCH(BBC2,Clientes,0))))</f>
        <v>#VALUE!</v>
      </c>
      <c r="BBD3" s="28" t="e" cm="1" vm="1">
        <f t="array" ref="BBD3">_xlfn._xlws.FILTER(Rutas,_xlfn._xlws.FILTER($B$2:$B$10000,$B$2:$B$10000&lt;&gt;"")=VALUE(INDEX(IdClientes,MATCH(BBD2,Clientes,0))))</f>
        <v>#VALUE!</v>
      </c>
      <c r="BBE3" s="28" t="e" cm="1" vm="1">
        <f t="array" ref="BBE3">_xlfn._xlws.FILTER(Rutas,_xlfn._xlws.FILTER($B$2:$B$10000,$B$2:$B$10000&lt;&gt;"")=VALUE(INDEX(IdClientes,MATCH(BBE2,Clientes,0))))</f>
        <v>#VALUE!</v>
      </c>
      <c r="BBF3" s="28" t="e" cm="1" vm="1">
        <f t="array" ref="BBF3">_xlfn._xlws.FILTER(Rutas,_xlfn._xlws.FILTER($B$2:$B$10000,$B$2:$B$10000&lt;&gt;"")=VALUE(INDEX(IdClientes,MATCH(BBF2,Clientes,0))))</f>
        <v>#VALUE!</v>
      </c>
      <c r="BBG3" s="28" t="e" cm="1" vm="1">
        <f t="array" ref="BBG3">_xlfn._xlws.FILTER(Rutas,_xlfn._xlws.FILTER($B$2:$B$10000,$B$2:$B$10000&lt;&gt;"")=VALUE(INDEX(IdClientes,MATCH(BBG2,Clientes,0))))</f>
        <v>#VALUE!</v>
      </c>
      <c r="BBH3" s="28" t="e" cm="1" vm="1">
        <f t="array" ref="BBH3">_xlfn._xlws.FILTER(Rutas,_xlfn._xlws.FILTER($B$2:$B$10000,$B$2:$B$10000&lt;&gt;"")=VALUE(INDEX(IdClientes,MATCH(BBH2,Clientes,0))))</f>
        <v>#VALUE!</v>
      </c>
      <c r="BBI3" s="28" t="e" cm="1" vm="1">
        <f t="array" ref="BBI3">_xlfn._xlws.FILTER(Rutas,_xlfn._xlws.FILTER($B$2:$B$10000,$B$2:$B$10000&lt;&gt;"")=VALUE(INDEX(IdClientes,MATCH(BBI2,Clientes,0))))</f>
        <v>#VALUE!</v>
      </c>
      <c r="BBJ3" s="28" t="e" cm="1" vm="1">
        <f t="array" ref="BBJ3">_xlfn._xlws.FILTER(Rutas,_xlfn._xlws.FILTER($B$2:$B$10000,$B$2:$B$10000&lt;&gt;"")=VALUE(INDEX(IdClientes,MATCH(BBJ2,Clientes,0))))</f>
        <v>#VALUE!</v>
      </c>
      <c r="BBK3" s="28" t="e" cm="1" vm="1">
        <f t="array" ref="BBK3">_xlfn._xlws.FILTER(Rutas,_xlfn._xlws.FILTER($B$2:$B$10000,$B$2:$B$10000&lt;&gt;"")=VALUE(INDEX(IdClientes,MATCH(BBK2,Clientes,0))))</f>
        <v>#VALUE!</v>
      </c>
      <c r="BBL3" s="28" t="e" cm="1" vm="1">
        <f t="array" ref="BBL3">_xlfn._xlws.FILTER(Rutas,_xlfn._xlws.FILTER($B$2:$B$10000,$B$2:$B$10000&lt;&gt;"")=VALUE(INDEX(IdClientes,MATCH(BBL2,Clientes,0))))</f>
        <v>#VALUE!</v>
      </c>
      <c r="BBM3" s="28" t="e" cm="1" vm="1">
        <f t="array" ref="BBM3">_xlfn._xlws.FILTER(Rutas,_xlfn._xlws.FILTER($B$2:$B$10000,$B$2:$B$10000&lt;&gt;"")=VALUE(INDEX(IdClientes,MATCH(BBM2,Clientes,0))))</f>
        <v>#VALUE!</v>
      </c>
      <c r="BBN3" s="28" t="e" cm="1" vm="1">
        <f t="array" ref="BBN3">_xlfn._xlws.FILTER(Rutas,_xlfn._xlws.FILTER($B$2:$B$10000,$B$2:$B$10000&lt;&gt;"")=VALUE(INDEX(IdClientes,MATCH(BBN2,Clientes,0))))</f>
        <v>#VALUE!</v>
      </c>
      <c r="BBO3" s="28" t="e" cm="1" vm="1">
        <f t="array" ref="BBO3">_xlfn._xlws.FILTER(Rutas,_xlfn._xlws.FILTER($B$2:$B$10000,$B$2:$B$10000&lt;&gt;"")=VALUE(INDEX(IdClientes,MATCH(BBO2,Clientes,0))))</f>
        <v>#VALUE!</v>
      </c>
      <c r="BBP3" s="28" t="e" cm="1" vm="1">
        <f t="array" ref="BBP3">_xlfn._xlws.FILTER(Rutas,_xlfn._xlws.FILTER($B$2:$B$10000,$B$2:$B$10000&lt;&gt;"")=VALUE(INDEX(IdClientes,MATCH(BBP2,Clientes,0))))</f>
        <v>#VALUE!</v>
      </c>
      <c r="BBQ3" s="28" t="e" cm="1" vm="1">
        <f t="array" ref="BBQ3">_xlfn._xlws.FILTER(Rutas,_xlfn._xlws.FILTER($B$2:$B$10000,$B$2:$B$10000&lt;&gt;"")=VALUE(INDEX(IdClientes,MATCH(BBQ2,Clientes,0))))</f>
        <v>#VALUE!</v>
      </c>
      <c r="BBR3" s="28" t="e" cm="1" vm="1">
        <f t="array" ref="BBR3">_xlfn._xlws.FILTER(Rutas,_xlfn._xlws.FILTER($B$2:$B$10000,$B$2:$B$10000&lt;&gt;"")=VALUE(INDEX(IdClientes,MATCH(BBR2,Clientes,0))))</f>
        <v>#VALUE!</v>
      </c>
      <c r="BBS3" s="28" t="e" cm="1" vm="1">
        <f t="array" ref="BBS3">_xlfn._xlws.FILTER(Rutas,_xlfn._xlws.FILTER($B$2:$B$10000,$B$2:$B$10000&lt;&gt;"")=VALUE(INDEX(IdClientes,MATCH(BBS2,Clientes,0))))</f>
        <v>#VALUE!</v>
      </c>
      <c r="BBT3" s="28" t="e" cm="1" vm="1">
        <f t="array" ref="BBT3">_xlfn._xlws.FILTER(Rutas,_xlfn._xlws.FILTER($B$2:$B$10000,$B$2:$B$10000&lt;&gt;"")=VALUE(INDEX(IdClientes,MATCH(BBT2,Clientes,0))))</f>
        <v>#VALUE!</v>
      </c>
      <c r="BBU3" s="28" t="e" cm="1" vm="1">
        <f t="array" ref="BBU3">_xlfn._xlws.FILTER(Rutas,_xlfn._xlws.FILTER($B$2:$B$10000,$B$2:$B$10000&lt;&gt;"")=VALUE(INDEX(IdClientes,MATCH(BBU2,Clientes,0))))</f>
        <v>#VALUE!</v>
      </c>
      <c r="BBV3" s="28" t="e" cm="1" vm="1">
        <f t="array" ref="BBV3">_xlfn._xlws.FILTER(Rutas,_xlfn._xlws.FILTER($B$2:$B$10000,$B$2:$B$10000&lt;&gt;"")=VALUE(INDEX(IdClientes,MATCH(BBV2,Clientes,0))))</f>
        <v>#VALUE!</v>
      </c>
      <c r="BBW3" s="28" t="e" cm="1" vm="1">
        <f t="array" ref="BBW3">_xlfn._xlws.FILTER(Rutas,_xlfn._xlws.FILTER($B$2:$B$10000,$B$2:$B$10000&lt;&gt;"")=VALUE(INDEX(IdClientes,MATCH(BBW2,Clientes,0))))</f>
        <v>#VALUE!</v>
      </c>
      <c r="BBX3" s="28" t="e" cm="1" vm="1">
        <f t="array" ref="BBX3">_xlfn._xlws.FILTER(Rutas,_xlfn._xlws.FILTER($B$2:$B$10000,$B$2:$B$10000&lt;&gt;"")=VALUE(INDEX(IdClientes,MATCH(BBX2,Clientes,0))))</f>
        <v>#VALUE!</v>
      </c>
      <c r="BBY3" s="28" t="e" cm="1" vm="1">
        <f t="array" ref="BBY3">_xlfn._xlws.FILTER(Rutas,_xlfn._xlws.FILTER($B$2:$B$10000,$B$2:$B$10000&lt;&gt;"")=VALUE(INDEX(IdClientes,MATCH(BBY2,Clientes,0))))</f>
        <v>#VALUE!</v>
      </c>
      <c r="BBZ3" s="28" t="e" cm="1" vm="1">
        <f t="array" ref="BBZ3">_xlfn._xlws.FILTER(Rutas,_xlfn._xlws.FILTER($B$2:$B$10000,$B$2:$B$10000&lt;&gt;"")=VALUE(INDEX(IdClientes,MATCH(BBZ2,Clientes,0))))</f>
        <v>#VALUE!</v>
      </c>
      <c r="BCA3" s="28" t="e" cm="1" vm="1">
        <f t="array" ref="BCA3">_xlfn._xlws.FILTER(Rutas,_xlfn._xlws.FILTER($B$2:$B$10000,$B$2:$B$10000&lt;&gt;"")=VALUE(INDEX(IdClientes,MATCH(BCA2,Clientes,0))))</f>
        <v>#VALUE!</v>
      </c>
      <c r="BCB3" s="28" t="e" cm="1" vm="1">
        <f t="array" ref="BCB3">_xlfn._xlws.FILTER(Rutas,_xlfn._xlws.FILTER($B$2:$B$10000,$B$2:$B$10000&lt;&gt;"")=VALUE(INDEX(IdClientes,MATCH(BCB2,Clientes,0))))</f>
        <v>#VALUE!</v>
      </c>
      <c r="BCC3" s="28" t="e" cm="1" vm="1">
        <f t="array" ref="BCC3">_xlfn._xlws.FILTER(Rutas,_xlfn._xlws.FILTER($B$2:$B$10000,$B$2:$B$10000&lt;&gt;"")=VALUE(INDEX(IdClientes,MATCH(BCC2,Clientes,0))))</f>
        <v>#VALUE!</v>
      </c>
      <c r="BCD3" s="28" t="e" cm="1" vm="1">
        <f t="array" ref="BCD3">_xlfn._xlws.FILTER(Rutas,_xlfn._xlws.FILTER($B$2:$B$10000,$B$2:$B$10000&lt;&gt;"")=VALUE(INDEX(IdClientes,MATCH(BCD2,Clientes,0))))</f>
        <v>#VALUE!</v>
      </c>
      <c r="BCE3" s="28" t="e" cm="1" vm="1">
        <f t="array" ref="BCE3">_xlfn._xlws.FILTER(Rutas,_xlfn._xlws.FILTER($B$2:$B$10000,$B$2:$B$10000&lt;&gt;"")=VALUE(INDEX(IdClientes,MATCH(BCE2,Clientes,0))))</f>
        <v>#VALUE!</v>
      </c>
      <c r="BCF3" s="28" t="e" cm="1" vm="1">
        <f t="array" ref="BCF3">_xlfn._xlws.FILTER(Rutas,_xlfn._xlws.FILTER($B$2:$B$10000,$B$2:$B$10000&lt;&gt;"")=VALUE(INDEX(IdClientes,MATCH(BCF2,Clientes,0))))</f>
        <v>#VALUE!</v>
      </c>
      <c r="BCG3" s="28" t="e" cm="1" vm="1">
        <f t="array" ref="BCG3">_xlfn._xlws.FILTER(Rutas,_xlfn._xlws.FILTER($B$2:$B$10000,$B$2:$B$10000&lt;&gt;"")=VALUE(INDEX(IdClientes,MATCH(BCG2,Clientes,0))))</f>
        <v>#VALUE!</v>
      </c>
      <c r="BCH3" s="28" t="e" cm="1" vm="1">
        <f t="array" ref="BCH3">_xlfn._xlws.FILTER(Rutas,_xlfn._xlws.FILTER($B$2:$B$10000,$B$2:$B$10000&lt;&gt;"")=VALUE(INDEX(IdClientes,MATCH(BCH2,Clientes,0))))</f>
        <v>#VALUE!</v>
      </c>
      <c r="BCI3" s="28" t="e" cm="1" vm="1">
        <f t="array" ref="BCI3">_xlfn._xlws.FILTER(Rutas,_xlfn._xlws.FILTER($B$2:$B$10000,$B$2:$B$10000&lt;&gt;"")=VALUE(INDEX(IdClientes,MATCH(BCI2,Clientes,0))))</f>
        <v>#VALUE!</v>
      </c>
      <c r="BCJ3" s="28" t="e" cm="1" vm="1">
        <f t="array" ref="BCJ3">_xlfn._xlws.FILTER(Rutas,_xlfn._xlws.FILTER($B$2:$B$10000,$B$2:$B$10000&lt;&gt;"")=VALUE(INDEX(IdClientes,MATCH(BCJ2,Clientes,0))))</f>
        <v>#VALUE!</v>
      </c>
      <c r="BCK3" s="28" t="e" cm="1" vm="1">
        <f t="array" ref="BCK3">_xlfn._xlws.FILTER(Rutas,_xlfn._xlws.FILTER($B$2:$B$10000,$B$2:$B$10000&lt;&gt;"")=VALUE(INDEX(IdClientes,MATCH(BCK2,Clientes,0))))</f>
        <v>#VALUE!</v>
      </c>
      <c r="BCL3" s="28" t="e" cm="1" vm="1">
        <f t="array" ref="BCL3">_xlfn._xlws.FILTER(Rutas,_xlfn._xlws.FILTER($B$2:$B$10000,$B$2:$B$10000&lt;&gt;"")=VALUE(INDEX(IdClientes,MATCH(BCL2,Clientes,0))))</f>
        <v>#VALUE!</v>
      </c>
      <c r="BCM3" s="28" t="e" cm="1" vm="1">
        <f t="array" ref="BCM3">_xlfn._xlws.FILTER(Rutas,_xlfn._xlws.FILTER($B$2:$B$10000,$B$2:$B$10000&lt;&gt;"")=VALUE(INDEX(IdClientes,MATCH(BCM2,Clientes,0))))</f>
        <v>#VALUE!</v>
      </c>
      <c r="BCN3" s="28" t="e" cm="1" vm="1">
        <f t="array" ref="BCN3">_xlfn._xlws.FILTER(Rutas,_xlfn._xlws.FILTER($B$2:$B$10000,$B$2:$B$10000&lt;&gt;"")=VALUE(INDEX(IdClientes,MATCH(BCN2,Clientes,0))))</f>
        <v>#VALUE!</v>
      </c>
      <c r="BCO3" s="28" t="e" cm="1" vm="1">
        <f t="array" ref="BCO3">_xlfn._xlws.FILTER(Rutas,_xlfn._xlws.FILTER($B$2:$B$10000,$B$2:$B$10000&lt;&gt;"")=VALUE(INDEX(IdClientes,MATCH(BCO2,Clientes,0))))</f>
        <v>#VALUE!</v>
      </c>
      <c r="BCP3" s="28" t="e" cm="1" vm="1">
        <f t="array" ref="BCP3">_xlfn._xlws.FILTER(Rutas,_xlfn._xlws.FILTER($B$2:$B$10000,$B$2:$B$10000&lt;&gt;"")=VALUE(INDEX(IdClientes,MATCH(BCP2,Clientes,0))))</f>
        <v>#VALUE!</v>
      </c>
      <c r="BCQ3" s="28" t="e" cm="1" vm="1">
        <f t="array" ref="BCQ3">_xlfn._xlws.FILTER(Rutas,_xlfn._xlws.FILTER($B$2:$B$10000,$B$2:$B$10000&lt;&gt;"")=VALUE(INDEX(IdClientes,MATCH(BCQ2,Clientes,0))))</f>
        <v>#VALUE!</v>
      </c>
      <c r="BCR3" s="28" t="e" cm="1" vm="1">
        <f t="array" ref="BCR3">_xlfn._xlws.FILTER(Rutas,_xlfn._xlws.FILTER($B$2:$B$10000,$B$2:$B$10000&lt;&gt;"")=VALUE(INDEX(IdClientes,MATCH(BCR2,Clientes,0))))</f>
        <v>#VALUE!</v>
      </c>
      <c r="BCS3" s="28" t="e" cm="1" vm="1">
        <f t="array" ref="BCS3">_xlfn._xlws.FILTER(Rutas,_xlfn._xlws.FILTER($B$2:$B$10000,$B$2:$B$10000&lt;&gt;"")=VALUE(INDEX(IdClientes,MATCH(BCS2,Clientes,0))))</f>
        <v>#VALUE!</v>
      </c>
      <c r="BCT3" s="28" t="e" cm="1" vm="1">
        <f t="array" ref="BCT3">_xlfn._xlws.FILTER(Rutas,_xlfn._xlws.FILTER($B$2:$B$10000,$B$2:$B$10000&lt;&gt;"")=VALUE(INDEX(IdClientes,MATCH(BCT2,Clientes,0))))</f>
        <v>#VALUE!</v>
      </c>
      <c r="BCU3" s="28" t="e" cm="1" vm="1">
        <f t="array" ref="BCU3">_xlfn._xlws.FILTER(Rutas,_xlfn._xlws.FILTER($B$2:$B$10000,$B$2:$B$10000&lt;&gt;"")=VALUE(INDEX(IdClientes,MATCH(BCU2,Clientes,0))))</f>
        <v>#VALUE!</v>
      </c>
      <c r="BCV3" s="28" t="e" cm="1" vm="1">
        <f t="array" ref="BCV3">_xlfn._xlws.FILTER(Rutas,_xlfn._xlws.FILTER($B$2:$B$10000,$B$2:$B$10000&lt;&gt;"")=VALUE(INDEX(IdClientes,MATCH(BCV2,Clientes,0))))</f>
        <v>#VALUE!</v>
      </c>
      <c r="BCW3" s="28" t="e" cm="1" vm="1">
        <f t="array" ref="BCW3">_xlfn._xlws.FILTER(Rutas,_xlfn._xlws.FILTER($B$2:$B$10000,$B$2:$B$10000&lt;&gt;"")=VALUE(INDEX(IdClientes,MATCH(BCW2,Clientes,0))))</f>
        <v>#VALUE!</v>
      </c>
      <c r="BCX3" s="28" t="e" cm="1" vm="1">
        <f t="array" ref="BCX3">_xlfn._xlws.FILTER(Rutas,_xlfn._xlws.FILTER($B$2:$B$10000,$B$2:$B$10000&lt;&gt;"")=VALUE(INDEX(IdClientes,MATCH(BCX2,Clientes,0))))</f>
        <v>#VALUE!</v>
      </c>
      <c r="BCY3" s="28" t="e" cm="1" vm="1">
        <f t="array" ref="BCY3">_xlfn._xlws.FILTER(Rutas,_xlfn._xlws.FILTER($B$2:$B$10000,$B$2:$B$10000&lt;&gt;"")=VALUE(INDEX(IdClientes,MATCH(BCY2,Clientes,0))))</f>
        <v>#VALUE!</v>
      </c>
      <c r="BCZ3" s="28" t="e" cm="1" vm="1">
        <f t="array" ref="BCZ3">_xlfn._xlws.FILTER(Rutas,_xlfn._xlws.FILTER($B$2:$B$10000,$B$2:$B$10000&lt;&gt;"")=VALUE(INDEX(IdClientes,MATCH(BCZ2,Clientes,0))))</f>
        <v>#VALUE!</v>
      </c>
      <c r="BDA3" s="28" t="e" cm="1" vm="1">
        <f t="array" ref="BDA3">_xlfn._xlws.FILTER(Rutas,_xlfn._xlws.FILTER($B$2:$B$10000,$B$2:$B$10000&lt;&gt;"")=VALUE(INDEX(IdClientes,MATCH(BDA2,Clientes,0))))</f>
        <v>#VALUE!</v>
      </c>
      <c r="BDB3" s="28" t="e" cm="1" vm="1">
        <f t="array" ref="BDB3">_xlfn._xlws.FILTER(Rutas,_xlfn._xlws.FILTER($B$2:$B$10000,$B$2:$B$10000&lt;&gt;"")=VALUE(INDEX(IdClientes,MATCH(BDB2,Clientes,0))))</f>
        <v>#VALUE!</v>
      </c>
      <c r="BDC3" s="28" t="e" cm="1" vm="1">
        <f t="array" ref="BDC3">_xlfn._xlws.FILTER(Rutas,_xlfn._xlws.FILTER($B$2:$B$10000,$B$2:$B$10000&lt;&gt;"")=VALUE(INDEX(IdClientes,MATCH(BDC2,Clientes,0))))</f>
        <v>#VALUE!</v>
      </c>
      <c r="BDD3" s="28" t="e" cm="1" vm="1">
        <f t="array" ref="BDD3">_xlfn._xlws.FILTER(Rutas,_xlfn._xlws.FILTER($B$2:$B$10000,$B$2:$B$10000&lt;&gt;"")=VALUE(INDEX(IdClientes,MATCH(BDD2,Clientes,0))))</f>
        <v>#VALUE!</v>
      </c>
      <c r="BDE3" s="28" t="e" cm="1" vm="1">
        <f t="array" ref="BDE3">_xlfn._xlws.FILTER(Rutas,_xlfn._xlws.FILTER($B$2:$B$10000,$B$2:$B$10000&lt;&gt;"")=VALUE(INDEX(IdClientes,MATCH(BDE2,Clientes,0))))</f>
        <v>#VALUE!</v>
      </c>
      <c r="BDF3" s="28" t="e" cm="1" vm="1">
        <f t="array" ref="BDF3">_xlfn._xlws.FILTER(Rutas,_xlfn._xlws.FILTER($B$2:$B$10000,$B$2:$B$10000&lt;&gt;"")=VALUE(INDEX(IdClientes,MATCH(BDF2,Clientes,0))))</f>
        <v>#VALUE!</v>
      </c>
      <c r="BDG3" s="28" t="e" cm="1" vm="1">
        <f t="array" ref="BDG3">_xlfn._xlws.FILTER(Rutas,_xlfn._xlws.FILTER($B$2:$B$10000,$B$2:$B$10000&lt;&gt;"")=VALUE(INDEX(IdClientes,MATCH(BDG2,Clientes,0))))</f>
        <v>#VALUE!</v>
      </c>
      <c r="BDH3" s="28" t="e" cm="1" vm="1">
        <f t="array" ref="BDH3">_xlfn._xlws.FILTER(Rutas,_xlfn._xlws.FILTER($B$2:$B$10000,$B$2:$B$10000&lt;&gt;"")=VALUE(INDEX(IdClientes,MATCH(BDH2,Clientes,0))))</f>
        <v>#VALUE!</v>
      </c>
      <c r="BDI3" s="28" t="e" cm="1" vm="1">
        <f t="array" ref="BDI3">_xlfn._xlws.FILTER(Rutas,_xlfn._xlws.FILTER($B$2:$B$10000,$B$2:$B$10000&lt;&gt;"")=VALUE(INDEX(IdClientes,MATCH(BDI2,Clientes,0))))</f>
        <v>#VALUE!</v>
      </c>
      <c r="BDJ3" s="28" t="e" cm="1" vm="1">
        <f t="array" ref="BDJ3">_xlfn._xlws.FILTER(Rutas,_xlfn._xlws.FILTER($B$2:$B$10000,$B$2:$B$10000&lt;&gt;"")=VALUE(INDEX(IdClientes,MATCH(BDJ2,Clientes,0))))</f>
        <v>#VALUE!</v>
      </c>
      <c r="BDK3" s="28" t="e" cm="1" vm="1">
        <f t="array" ref="BDK3">_xlfn._xlws.FILTER(Rutas,_xlfn._xlws.FILTER($B$2:$B$10000,$B$2:$B$10000&lt;&gt;"")=VALUE(INDEX(IdClientes,MATCH(BDK2,Clientes,0))))</f>
        <v>#VALUE!</v>
      </c>
      <c r="BDL3" s="28" t="e" cm="1" vm="1">
        <f t="array" ref="BDL3">_xlfn._xlws.FILTER(Rutas,_xlfn._xlws.FILTER($B$2:$B$10000,$B$2:$B$10000&lt;&gt;"")=VALUE(INDEX(IdClientes,MATCH(BDL2,Clientes,0))))</f>
        <v>#VALUE!</v>
      </c>
      <c r="BDM3" s="28" t="e" cm="1" vm="1">
        <f t="array" ref="BDM3">_xlfn._xlws.FILTER(Rutas,_xlfn._xlws.FILTER($B$2:$B$10000,$B$2:$B$10000&lt;&gt;"")=VALUE(INDEX(IdClientes,MATCH(BDM2,Clientes,0))))</f>
        <v>#VALUE!</v>
      </c>
      <c r="BDN3" s="28" t="e" cm="1" vm="1">
        <f t="array" ref="BDN3">_xlfn._xlws.FILTER(Rutas,_xlfn._xlws.FILTER($B$2:$B$10000,$B$2:$B$10000&lt;&gt;"")=VALUE(INDEX(IdClientes,MATCH(BDN2,Clientes,0))))</f>
        <v>#VALUE!</v>
      </c>
      <c r="BDO3" s="28" t="e" cm="1" vm="1">
        <f t="array" ref="BDO3">_xlfn._xlws.FILTER(Rutas,_xlfn._xlws.FILTER($B$2:$B$10000,$B$2:$B$10000&lt;&gt;"")=VALUE(INDEX(IdClientes,MATCH(BDO2,Clientes,0))))</f>
        <v>#VALUE!</v>
      </c>
      <c r="BDP3" s="28" t="e" cm="1" vm="1">
        <f t="array" ref="BDP3">_xlfn._xlws.FILTER(Rutas,_xlfn._xlws.FILTER($B$2:$B$10000,$B$2:$B$10000&lt;&gt;"")=VALUE(INDEX(IdClientes,MATCH(BDP2,Clientes,0))))</f>
        <v>#VALUE!</v>
      </c>
      <c r="BDQ3" s="28" t="e" cm="1" vm="1">
        <f t="array" ref="BDQ3">_xlfn._xlws.FILTER(Rutas,_xlfn._xlws.FILTER($B$2:$B$10000,$B$2:$B$10000&lt;&gt;"")=VALUE(INDEX(IdClientes,MATCH(BDQ2,Clientes,0))))</f>
        <v>#VALUE!</v>
      </c>
      <c r="BDR3" s="28" t="e" cm="1" vm="1">
        <f t="array" ref="BDR3">_xlfn._xlws.FILTER(Rutas,_xlfn._xlws.FILTER($B$2:$B$10000,$B$2:$B$10000&lt;&gt;"")=VALUE(INDEX(IdClientes,MATCH(BDR2,Clientes,0))))</f>
        <v>#VALUE!</v>
      </c>
      <c r="BDS3" s="28" t="e" cm="1" vm="1">
        <f t="array" ref="BDS3">_xlfn._xlws.FILTER(Rutas,_xlfn._xlws.FILTER($B$2:$B$10000,$B$2:$B$10000&lt;&gt;"")=VALUE(INDEX(IdClientes,MATCH(BDS2,Clientes,0))))</f>
        <v>#VALUE!</v>
      </c>
      <c r="BDT3" s="28" t="e" cm="1" vm="1">
        <f t="array" ref="BDT3">_xlfn._xlws.FILTER(Rutas,_xlfn._xlws.FILTER($B$2:$B$10000,$B$2:$B$10000&lt;&gt;"")=VALUE(INDEX(IdClientes,MATCH(BDT2,Clientes,0))))</f>
        <v>#VALUE!</v>
      </c>
      <c r="BDU3" s="28" t="e" cm="1" vm="1">
        <f t="array" ref="BDU3">_xlfn._xlws.FILTER(Rutas,_xlfn._xlws.FILTER($B$2:$B$10000,$B$2:$B$10000&lt;&gt;"")=VALUE(INDEX(IdClientes,MATCH(BDU2,Clientes,0))))</f>
        <v>#VALUE!</v>
      </c>
      <c r="BDV3" s="28" t="e" cm="1" vm="1">
        <f t="array" ref="BDV3">_xlfn._xlws.FILTER(Rutas,_xlfn._xlws.FILTER($B$2:$B$10000,$B$2:$B$10000&lt;&gt;"")=VALUE(INDEX(IdClientes,MATCH(BDV2,Clientes,0))))</f>
        <v>#VALUE!</v>
      </c>
      <c r="BDW3" s="28" t="e" cm="1" vm="1">
        <f t="array" ref="BDW3">_xlfn._xlws.FILTER(Rutas,_xlfn._xlws.FILTER($B$2:$B$10000,$B$2:$B$10000&lt;&gt;"")=VALUE(INDEX(IdClientes,MATCH(BDW2,Clientes,0))))</f>
        <v>#VALUE!</v>
      </c>
      <c r="BDX3" s="28" t="e" cm="1" vm="1">
        <f t="array" ref="BDX3">_xlfn._xlws.FILTER(Rutas,_xlfn._xlws.FILTER($B$2:$B$10000,$B$2:$B$10000&lt;&gt;"")=VALUE(INDEX(IdClientes,MATCH(BDX2,Clientes,0))))</f>
        <v>#VALUE!</v>
      </c>
      <c r="BDY3" s="28" t="e" cm="1" vm="1">
        <f t="array" ref="BDY3">_xlfn._xlws.FILTER(Rutas,_xlfn._xlws.FILTER($B$2:$B$10000,$B$2:$B$10000&lt;&gt;"")=VALUE(INDEX(IdClientes,MATCH(BDY2,Clientes,0))))</f>
        <v>#VALUE!</v>
      </c>
      <c r="BDZ3" s="28" t="e" cm="1" vm="1">
        <f t="array" ref="BDZ3">_xlfn._xlws.FILTER(Rutas,_xlfn._xlws.FILTER($B$2:$B$10000,$B$2:$B$10000&lt;&gt;"")=VALUE(INDEX(IdClientes,MATCH(BDZ2,Clientes,0))))</f>
        <v>#VALUE!</v>
      </c>
      <c r="BEA3" s="28" t="e" cm="1" vm="1">
        <f t="array" ref="BEA3">_xlfn._xlws.FILTER(Rutas,_xlfn._xlws.FILTER($B$2:$B$10000,$B$2:$B$10000&lt;&gt;"")=VALUE(INDEX(IdClientes,MATCH(BEA2,Clientes,0))))</f>
        <v>#VALUE!</v>
      </c>
      <c r="BEB3" s="28" t="e" cm="1" vm="1">
        <f t="array" ref="BEB3">_xlfn._xlws.FILTER(Rutas,_xlfn._xlws.FILTER($B$2:$B$10000,$B$2:$B$10000&lt;&gt;"")=VALUE(INDEX(IdClientes,MATCH(BEB2,Clientes,0))))</f>
        <v>#VALUE!</v>
      </c>
      <c r="BEC3" s="28" t="e" cm="1" vm="1">
        <f t="array" ref="BEC3">_xlfn._xlws.FILTER(Rutas,_xlfn._xlws.FILTER($B$2:$B$10000,$B$2:$B$10000&lt;&gt;"")=VALUE(INDEX(IdClientes,MATCH(BEC2,Clientes,0))))</f>
        <v>#VALUE!</v>
      </c>
      <c r="BED3" s="28" t="e" cm="1" vm="1">
        <f t="array" ref="BED3">_xlfn._xlws.FILTER(Rutas,_xlfn._xlws.FILTER($B$2:$B$10000,$B$2:$B$10000&lt;&gt;"")=VALUE(INDEX(IdClientes,MATCH(BED2,Clientes,0))))</f>
        <v>#VALUE!</v>
      </c>
      <c r="BEE3" s="28" t="e" cm="1" vm="1">
        <f t="array" ref="BEE3">_xlfn._xlws.FILTER(Rutas,_xlfn._xlws.FILTER($B$2:$B$10000,$B$2:$B$10000&lt;&gt;"")=VALUE(INDEX(IdClientes,MATCH(BEE2,Clientes,0))))</f>
        <v>#VALUE!</v>
      </c>
      <c r="BEF3" s="28" t="e" cm="1" vm="1">
        <f t="array" ref="BEF3">_xlfn._xlws.FILTER(Rutas,_xlfn._xlws.FILTER($B$2:$B$10000,$B$2:$B$10000&lt;&gt;"")=VALUE(INDEX(IdClientes,MATCH(BEF2,Clientes,0))))</f>
        <v>#VALUE!</v>
      </c>
      <c r="BEG3" s="28" t="e" cm="1" vm="1">
        <f t="array" ref="BEG3">_xlfn._xlws.FILTER(Rutas,_xlfn._xlws.FILTER($B$2:$B$10000,$B$2:$B$10000&lt;&gt;"")=VALUE(INDEX(IdClientes,MATCH(BEG2,Clientes,0))))</f>
        <v>#VALUE!</v>
      </c>
      <c r="BEH3" s="28" t="e" cm="1" vm="1">
        <f t="array" ref="BEH3">_xlfn._xlws.FILTER(Rutas,_xlfn._xlws.FILTER($B$2:$B$10000,$B$2:$B$10000&lt;&gt;"")=VALUE(INDEX(IdClientes,MATCH(BEH2,Clientes,0))))</f>
        <v>#VALUE!</v>
      </c>
      <c r="BEI3" s="28" t="e" cm="1" vm="1">
        <f t="array" ref="BEI3">_xlfn._xlws.FILTER(Rutas,_xlfn._xlws.FILTER($B$2:$B$10000,$B$2:$B$10000&lt;&gt;"")=VALUE(INDEX(IdClientes,MATCH(BEI2,Clientes,0))))</f>
        <v>#VALUE!</v>
      </c>
      <c r="BEJ3" s="28" t="e" cm="1" vm="1">
        <f t="array" ref="BEJ3">_xlfn._xlws.FILTER(Rutas,_xlfn._xlws.FILTER($B$2:$B$10000,$B$2:$B$10000&lt;&gt;"")=VALUE(INDEX(IdClientes,MATCH(BEJ2,Clientes,0))))</f>
        <v>#VALUE!</v>
      </c>
      <c r="BEK3" s="28" t="e" cm="1" vm="1">
        <f t="array" ref="BEK3">_xlfn._xlws.FILTER(Rutas,_xlfn._xlws.FILTER($B$2:$B$10000,$B$2:$B$10000&lt;&gt;"")=VALUE(INDEX(IdClientes,MATCH(BEK2,Clientes,0))))</f>
        <v>#VALUE!</v>
      </c>
      <c r="BEL3" s="28" t="e" cm="1" vm="1">
        <f t="array" ref="BEL3">_xlfn._xlws.FILTER(Rutas,_xlfn._xlws.FILTER($B$2:$B$10000,$B$2:$B$10000&lt;&gt;"")=VALUE(INDEX(IdClientes,MATCH(BEL2,Clientes,0))))</f>
        <v>#VALUE!</v>
      </c>
      <c r="BEM3" s="28" t="e" cm="1" vm="1">
        <f t="array" ref="BEM3">_xlfn._xlws.FILTER(Rutas,_xlfn._xlws.FILTER($B$2:$B$10000,$B$2:$B$10000&lt;&gt;"")=VALUE(INDEX(IdClientes,MATCH(BEM2,Clientes,0))))</f>
        <v>#VALUE!</v>
      </c>
      <c r="BEN3" s="28" t="e" cm="1" vm="1">
        <f t="array" ref="BEN3">_xlfn._xlws.FILTER(Rutas,_xlfn._xlws.FILTER($B$2:$B$10000,$B$2:$B$10000&lt;&gt;"")=VALUE(INDEX(IdClientes,MATCH(BEN2,Clientes,0))))</f>
        <v>#VALUE!</v>
      </c>
      <c r="BEO3" s="28" t="e" cm="1" vm="1">
        <f t="array" ref="BEO3">_xlfn._xlws.FILTER(Rutas,_xlfn._xlws.FILTER($B$2:$B$10000,$B$2:$B$10000&lt;&gt;"")=VALUE(INDEX(IdClientes,MATCH(BEO2,Clientes,0))))</f>
        <v>#VALUE!</v>
      </c>
      <c r="BEP3" s="28" t="e" cm="1" vm="1">
        <f t="array" ref="BEP3">_xlfn._xlws.FILTER(Rutas,_xlfn._xlws.FILTER($B$2:$B$10000,$B$2:$B$10000&lt;&gt;"")=VALUE(INDEX(IdClientes,MATCH(BEP2,Clientes,0))))</f>
        <v>#VALUE!</v>
      </c>
      <c r="BEQ3" s="28" t="e" cm="1" vm="1">
        <f t="array" ref="BEQ3">_xlfn._xlws.FILTER(Rutas,_xlfn._xlws.FILTER($B$2:$B$10000,$B$2:$B$10000&lt;&gt;"")=VALUE(INDEX(IdClientes,MATCH(BEQ2,Clientes,0))))</f>
        <v>#VALUE!</v>
      </c>
      <c r="BER3" s="28" t="e" cm="1" vm="1">
        <f t="array" ref="BER3">_xlfn._xlws.FILTER(Rutas,_xlfn._xlws.FILTER($B$2:$B$10000,$B$2:$B$10000&lt;&gt;"")=VALUE(INDEX(IdClientes,MATCH(BER2,Clientes,0))))</f>
        <v>#VALUE!</v>
      </c>
      <c r="BES3" s="28" t="e" cm="1" vm="1">
        <f t="array" ref="BES3">_xlfn._xlws.FILTER(Rutas,_xlfn._xlws.FILTER($B$2:$B$10000,$B$2:$B$10000&lt;&gt;"")=VALUE(INDEX(IdClientes,MATCH(BES2,Clientes,0))))</f>
        <v>#VALUE!</v>
      </c>
      <c r="BET3" s="28" t="e" cm="1" vm="1">
        <f t="array" ref="BET3">_xlfn._xlws.FILTER(Rutas,_xlfn._xlws.FILTER($B$2:$B$10000,$B$2:$B$10000&lt;&gt;"")=VALUE(INDEX(IdClientes,MATCH(BET2,Clientes,0))))</f>
        <v>#VALUE!</v>
      </c>
      <c r="BEU3" s="28" t="e" cm="1" vm="1">
        <f t="array" ref="BEU3">_xlfn._xlws.FILTER(Rutas,_xlfn._xlws.FILTER($B$2:$B$10000,$B$2:$B$10000&lt;&gt;"")=VALUE(INDEX(IdClientes,MATCH(BEU2,Clientes,0))))</f>
        <v>#VALUE!</v>
      </c>
      <c r="BEV3" s="28" t="e" cm="1" vm="1">
        <f t="array" ref="BEV3">_xlfn._xlws.FILTER(Rutas,_xlfn._xlws.FILTER($B$2:$B$10000,$B$2:$B$10000&lt;&gt;"")=VALUE(INDEX(IdClientes,MATCH(BEV2,Clientes,0))))</f>
        <v>#VALUE!</v>
      </c>
      <c r="BEW3" s="28" t="e" cm="1" vm="1">
        <f t="array" ref="BEW3">_xlfn._xlws.FILTER(Rutas,_xlfn._xlws.FILTER($B$2:$B$10000,$B$2:$B$10000&lt;&gt;"")=VALUE(INDEX(IdClientes,MATCH(BEW2,Clientes,0))))</f>
        <v>#VALUE!</v>
      </c>
      <c r="BEX3" s="28" t="e" cm="1" vm="1">
        <f t="array" ref="BEX3">_xlfn._xlws.FILTER(Rutas,_xlfn._xlws.FILTER($B$2:$B$10000,$B$2:$B$10000&lt;&gt;"")=VALUE(INDEX(IdClientes,MATCH(BEX2,Clientes,0))))</f>
        <v>#VALUE!</v>
      </c>
      <c r="BEY3" s="28" t="e" cm="1" vm="1">
        <f t="array" ref="BEY3">_xlfn._xlws.FILTER(Rutas,_xlfn._xlws.FILTER($B$2:$B$10000,$B$2:$B$10000&lt;&gt;"")=VALUE(INDEX(IdClientes,MATCH(BEY2,Clientes,0))))</f>
        <v>#VALUE!</v>
      </c>
      <c r="BEZ3" s="28" t="e" cm="1" vm="1">
        <f t="array" ref="BEZ3">_xlfn._xlws.FILTER(Rutas,_xlfn._xlws.FILTER($B$2:$B$10000,$B$2:$B$10000&lt;&gt;"")=VALUE(INDEX(IdClientes,MATCH(BEZ2,Clientes,0))))</f>
        <v>#VALUE!</v>
      </c>
      <c r="BFA3" s="28" t="e" cm="1" vm="1">
        <f t="array" ref="BFA3">_xlfn._xlws.FILTER(Rutas,_xlfn._xlws.FILTER($B$2:$B$10000,$B$2:$B$10000&lt;&gt;"")=VALUE(INDEX(IdClientes,MATCH(BFA2,Clientes,0))))</f>
        <v>#VALUE!</v>
      </c>
      <c r="BFB3" s="28" t="e" cm="1" vm="1">
        <f t="array" ref="BFB3">_xlfn._xlws.FILTER(Rutas,_xlfn._xlws.FILTER($B$2:$B$10000,$B$2:$B$10000&lt;&gt;"")=VALUE(INDEX(IdClientes,MATCH(BFB2,Clientes,0))))</f>
        <v>#VALUE!</v>
      </c>
      <c r="BFC3" s="28" t="e" cm="1" vm="1">
        <f t="array" ref="BFC3">_xlfn._xlws.FILTER(Rutas,_xlfn._xlws.FILTER($B$2:$B$10000,$B$2:$B$10000&lt;&gt;"")=VALUE(INDEX(IdClientes,MATCH(BFC2,Clientes,0))))</f>
        <v>#VALUE!</v>
      </c>
      <c r="BFD3" s="28" t="e" cm="1" vm="1">
        <f t="array" ref="BFD3">_xlfn._xlws.FILTER(Rutas,_xlfn._xlws.FILTER($B$2:$B$10000,$B$2:$B$10000&lt;&gt;"")=VALUE(INDEX(IdClientes,MATCH(BFD2,Clientes,0))))</f>
        <v>#VALUE!</v>
      </c>
      <c r="BFE3" s="28" t="e" cm="1" vm="1">
        <f t="array" ref="BFE3">_xlfn._xlws.FILTER(Rutas,_xlfn._xlws.FILTER($B$2:$B$10000,$B$2:$B$10000&lt;&gt;"")=VALUE(INDEX(IdClientes,MATCH(BFE2,Clientes,0))))</f>
        <v>#VALUE!</v>
      </c>
      <c r="BFF3" s="28" t="e" cm="1" vm="1">
        <f t="array" ref="BFF3">_xlfn._xlws.FILTER(Rutas,_xlfn._xlws.FILTER($B$2:$B$10000,$B$2:$B$10000&lt;&gt;"")=VALUE(INDEX(IdClientes,MATCH(BFF2,Clientes,0))))</f>
        <v>#VALUE!</v>
      </c>
      <c r="BFG3" s="28" t="e" cm="1" vm="1">
        <f t="array" ref="BFG3">_xlfn._xlws.FILTER(Rutas,_xlfn._xlws.FILTER($B$2:$B$10000,$B$2:$B$10000&lt;&gt;"")=VALUE(INDEX(IdClientes,MATCH(BFG2,Clientes,0))))</f>
        <v>#VALUE!</v>
      </c>
      <c r="BFH3" s="28" t="e" cm="1" vm="1">
        <f t="array" ref="BFH3">_xlfn._xlws.FILTER(Rutas,_xlfn._xlws.FILTER($B$2:$B$10000,$B$2:$B$10000&lt;&gt;"")=VALUE(INDEX(IdClientes,MATCH(BFH2,Clientes,0))))</f>
        <v>#VALUE!</v>
      </c>
      <c r="BFI3" s="28" t="e" cm="1" vm="1">
        <f t="array" ref="BFI3">_xlfn._xlws.FILTER(Rutas,_xlfn._xlws.FILTER($B$2:$B$10000,$B$2:$B$10000&lt;&gt;"")=VALUE(INDEX(IdClientes,MATCH(BFI2,Clientes,0))))</f>
        <v>#VALUE!</v>
      </c>
      <c r="BFJ3" s="28" t="e" cm="1" vm="1">
        <f t="array" ref="BFJ3">_xlfn._xlws.FILTER(Rutas,_xlfn._xlws.FILTER($B$2:$B$10000,$B$2:$B$10000&lt;&gt;"")=VALUE(INDEX(IdClientes,MATCH(BFJ2,Clientes,0))))</f>
        <v>#VALUE!</v>
      </c>
      <c r="BFK3" s="28" t="e" cm="1" vm="1">
        <f t="array" ref="BFK3">_xlfn._xlws.FILTER(Rutas,_xlfn._xlws.FILTER($B$2:$B$10000,$B$2:$B$10000&lt;&gt;"")=VALUE(INDEX(IdClientes,MATCH(BFK2,Clientes,0))))</f>
        <v>#VALUE!</v>
      </c>
      <c r="BFL3" s="28" t="e" cm="1" vm="1">
        <f t="array" ref="BFL3">_xlfn._xlws.FILTER(Rutas,_xlfn._xlws.FILTER($B$2:$B$10000,$B$2:$B$10000&lt;&gt;"")=VALUE(INDEX(IdClientes,MATCH(BFL2,Clientes,0))))</f>
        <v>#VALUE!</v>
      </c>
      <c r="BFM3" s="28" t="e" cm="1" vm="1">
        <f t="array" ref="BFM3">_xlfn._xlws.FILTER(Rutas,_xlfn._xlws.FILTER($B$2:$B$10000,$B$2:$B$10000&lt;&gt;"")=VALUE(INDEX(IdClientes,MATCH(BFM2,Clientes,0))))</f>
        <v>#VALUE!</v>
      </c>
      <c r="BFN3" s="28" t="e" cm="1" vm="1">
        <f t="array" ref="BFN3">_xlfn._xlws.FILTER(Rutas,_xlfn._xlws.FILTER($B$2:$B$10000,$B$2:$B$10000&lt;&gt;"")=VALUE(INDEX(IdClientes,MATCH(BFN2,Clientes,0))))</f>
        <v>#VALUE!</v>
      </c>
      <c r="BFO3" s="28" t="e" cm="1" vm="1">
        <f t="array" ref="BFO3">_xlfn._xlws.FILTER(Rutas,_xlfn._xlws.FILTER($B$2:$B$10000,$B$2:$B$10000&lt;&gt;"")=VALUE(INDEX(IdClientes,MATCH(BFO2,Clientes,0))))</f>
        <v>#VALUE!</v>
      </c>
      <c r="BFP3" s="28" t="e" cm="1" vm="1">
        <f t="array" ref="BFP3">_xlfn._xlws.FILTER(Rutas,_xlfn._xlws.FILTER($B$2:$B$10000,$B$2:$B$10000&lt;&gt;"")=VALUE(INDEX(IdClientes,MATCH(BFP2,Clientes,0))))</f>
        <v>#VALUE!</v>
      </c>
      <c r="BFQ3" s="28" t="e" cm="1" vm="1">
        <f t="array" ref="BFQ3">_xlfn._xlws.FILTER(Rutas,_xlfn._xlws.FILTER($B$2:$B$10000,$B$2:$B$10000&lt;&gt;"")=VALUE(INDEX(IdClientes,MATCH(BFQ2,Clientes,0))))</f>
        <v>#VALUE!</v>
      </c>
      <c r="BFR3" s="28" t="e" cm="1" vm="1">
        <f t="array" ref="BFR3">_xlfn._xlws.FILTER(Rutas,_xlfn._xlws.FILTER($B$2:$B$10000,$B$2:$B$10000&lt;&gt;"")=VALUE(INDEX(IdClientes,MATCH(BFR2,Clientes,0))))</f>
        <v>#VALUE!</v>
      </c>
      <c r="BFS3" s="28" t="e" cm="1" vm="1">
        <f t="array" ref="BFS3">_xlfn._xlws.FILTER(Rutas,_xlfn._xlws.FILTER($B$2:$B$10000,$B$2:$B$10000&lt;&gt;"")=VALUE(INDEX(IdClientes,MATCH(BFS2,Clientes,0))))</f>
        <v>#VALUE!</v>
      </c>
      <c r="BFT3" s="28" t="e" cm="1" vm="1">
        <f t="array" ref="BFT3">_xlfn._xlws.FILTER(Rutas,_xlfn._xlws.FILTER($B$2:$B$10000,$B$2:$B$10000&lt;&gt;"")=VALUE(INDEX(IdClientes,MATCH(BFT2,Clientes,0))))</f>
        <v>#VALUE!</v>
      </c>
      <c r="BFU3" s="28" t="e" cm="1" vm="1">
        <f t="array" ref="BFU3">_xlfn._xlws.FILTER(Rutas,_xlfn._xlws.FILTER($B$2:$B$10000,$B$2:$B$10000&lt;&gt;"")=VALUE(INDEX(IdClientes,MATCH(BFU2,Clientes,0))))</f>
        <v>#VALUE!</v>
      </c>
      <c r="BFV3" s="28" t="e" cm="1" vm="1">
        <f t="array" ref="BFV3">_xlfn._xlws.FILTER(Rutas,_xlfn._xlws.FILTER($B$2:$B$10000,$B$2:$B$10000&lt;&gt;"")=VALUE(INDEX(IdClientes,MATCH(BFV2,Clientes,0))))</f>
        <v>#VALUE!</v>
      </c>
      <c r="BFW3" s="28" t="e" cm="1" vm="1">
        <f t="array" ref="BFW3">_xlfn._xlws.FILTER(Rutas,_xlfn._xlws.FILTER($B$2:$B$10000,$B$2:$B$10000&lt;&gt;"")=VALUE(INDEX(IdClientes,MATCH(BFW2,Clientes,0))))</f>
        <v>#VALUE!</v>
      </c>
      <c r="BFX3" s="28" t="e" cm="1" vm="1">
        <f t="array" ref="BFX3">_xlfn._xlws.FILTER(Rutas,_xlfn._xlws.FILTER($B$2:$B$10000,$B$2:$B$10000&lt;&gt;"")=VALUE(INDEX(IdClientes,MATCH(BFX2,Clientes,0))))</f>
        <v>#VALUE!</v>
      </c>
      <c r="BFY3" s="28" t="e" cm="1" vm="1">
        <f t="array" ref="BFY3">_xlfn._xlws.FILTER(Rutas,_xlfn._xlws.FILTER($B$2:$B$10000,$B$2:$B$10000&lt;&gt;"")=VALUE(INDEX(IdClientes,MATCH(BFY2,Clientes,0))))</f>
        <v>#VALUE!</v>
      </c>
      <c r="BFZ3" s="28" t="e" cm="1" vm="1">
        <f t="array" ref="BFZ3">_xlfn._xlws.FILTER(Rutas,_xlfn._xlws.FILTER($B$2:$B$10000,$B$2:$B$10000&lt;&gt;"")=VALUE(INDEX(IdClientes,MATCH(BFZ2,Clientes,0))))</f>
        <v>#VALUE!</v>
      </c>
      <c r="BGA3" s="28" t="e" cm="1" vm="1">
        <f t="array" ref="BGA3">_xlfn._xlws.FILTER(Rutas,_xlfn._xlws.FILTER($B$2:$B$10000,$B$2:$B$10000&lt;&gt;"")=VALUE(INDEX(IdClientes,MATCH(BGA2,Clientes,0))))</f>
        <v>#VALUE!</v>
      </c>
      <c r="BGB3" s="28" t="e" cm="1" vm="1">
        <f t="array" ref="BGB3">_xlfn._xlws.FILTER(Rutas,_xlfn._xlws.FILTER($B$2:$B$10000,$B$2:$B$10000&lt;&gt;"")=VALUE(INDEX(IdClientes,MATCH(BGB2,Clientes,0))))</f>
        <v>#VALUE!</v>
      </c>
      <c r="BGC3" s="28" t="e" cm="1" vm="1">
        <f t="array" ref="BGC3">_xlfn._xlws.FILTER(Rutas,_xlfn._xlws.FILTER($B$2:$B$10000,$B$2:$B$10000&lt;&gt;"")=VALUE(INDEX(IdClientes,MATCH(BGC2,Clientes,0))))</f>
        <v>#VALUE!</v>
      </c>
      <c r="BGD3" s="28" t="e" cm="1" vm="1">
        <f t="array" ref="BGD3">_xlfn._xlws.FILTER(Rutas,_xlfn._xlws.FILTER($B$2:$B$10000,$B$2:$B$10000&lt;&gt;"")=VALUE(INDEX(IdClientes,MATCH(BGD2,Clientes,0))))</f>
        <v>#VALUE!</v>
      </c>
      <c r="BGE3" s="28" t="e" cm="1" vm="1">
        <f t="array" ref="BGE3">_xlfn._xlws.FILTER(Rutas,_xlfn._xlws.FILTER($B$2:$B$10000,$B$2:$B$10000&lt;&gt;"")=VALUE(INDEX(IdClientes,MATCH(BGE2,Clientes,0))))</f>
        <v>#VALUE!</v>
      </c>
      <c r="BGF3" s="28" t="e" cm="1" vm="1">
        <f t="array" ref="BGF3">_xlfn._xlws.FILTER(Rutas,_xlfn._xlws.FILTER($B$2:$B$10000,$B$2:$B$10000&lt;&gt;"")=VALUE(INDEX(IdClientes,MATCH(BGF2,Clientes,0))))</f>
        <v>#VALUE!</v>
      </c>
      <c r="BGG3" s="28" t="e" cm="1" vm="1">
        <f t="array" ref="BGG3">_xlfn._xlws.FILTER(Rutas,_xlfn._xlws.FILTER($B$2:$B$10000,$B$2:$B$10000&lt;&gt;"")=VALUE(INDEX(IdClientes,MATCH(BGG2,Clientes,0))))</f>
        <v>#VALUE!</v>
      </c>
      <c r="BGH3" s="28" t="e" cm="1" vm="1">
        <f t="array" ref="BGH3">_xlfn._xlws.FILTER(Rutas,_xlfn._xlws.FILTER($B$2:$B$10000,$B$2:$B$10000&lt;&gt;"")=VALUE(INDEX(IdClientes,MATCH(BGH2,Clientes,0))))</f>
        <v>#VALUE!</v>
      </c>
      <c r="BGI3" s="28" t="e" cm="1" vm="1">
        <f t="array" ref="BGI3">_xlfn._xlws.FILTER(Rutas,_xlfn._xlws.FILTER($B$2:$B$10000,$B$2:$B$10000&lt;&gt;"")=VALUE(INDEX(IdClientes,MATCH(BGI2,Clientes,0))))</f>
        <v>#VALUE!</v>
      </c>
      <c r="BGJ3" s="28" t="e" cm="1" vm="1">
        <f t="array" ref="BGJ3">_xlfn._xlws.FILTER(Rutas,_xlfn._xlws.FILTER($B$2:$B$10000,$B$2:$B$10000&lt;&gt;"")=VALUE(INDEX(IdClientes,MATCH(BGJ2,Clientes,0))))</f>
        <v>#VALUE!</v>
      </c>
      <c r="BGK3" s="28" t="e" cm="1" vm="1">
        <f t="array" ref="BGK3">_xlfn._xlws.FILTER(Rutas,_xlfn._xlws.FILTER($B$2:$B$10000,$B$2:$B$10000&lt;&gt;"")=VALUE(INDEX(IdClientes,MATCH(BGK2,Clientes,0))))</f>
        <v>#VALUE!</v>
      </c>
      <c r="BGL3" s="28" t="e" cm="1" vm="1">
        <f t="array" ref="BGL3">_xlfn._xlws.FILTER(Rutas,_xlfn._xlws.FILTER($B$2:$B$10000,$B$2:$B$10000&lt;&gt;"")=VALUE(INDEX(IdClientes,MATCH(BGL2,Clientes,0))))</f>
        <v>#VALUE!</v>
      </c>
      <c r="BGM3" s="28" t="e" cm="1" vm="1">
        <f t="array" ref="BGM3">_xlfn._xlws.FILTER(Rutas,_xlfn._xlws.FILTER($B$2:$B$10000,$B$2:$B$10000&lt;&gt;"")=VALUE(INDEX(IdClientes,MATCH(BGM2,Clientes,0))))</f>
        <v>#VALUE!</v>
      </c>
      <c r="BGN3" s="28" t="e" cm="1" vm="1">
        <f t="array" ref="BGN3">_xlfn._xlws.FILTER(Rutas,_xlfn._xlws.FILTER($B$2:$B$10000,$B$2:$B$10000&lt;&gt;"")=VALUE(INDEX(IdClientes,MATCH(BGN2,Clientes,0))))</f>
        <v>#VALUE!</v>
      </c>
      <c r="BGO3" s="28" t="e" cm="1" vm="1">
        <f t="array" ref="BGO3">_xlfn._xlws.FILTER(Rutas,_xlfn._xlws.FILTER($B$2:$B$10000,$B$2:$B$10000&lt;&gt;"")=VALUE(INDEX(IdClientes,MATCH(BGO2,Clientes,0))))</f>
        <v>#VALUE!</v>
      </c>
      <c r="BGP3" s="28" t="e" cm="1" vm="1">
        <f t="array" ref="BGP3">_xlfn._xlws.FILTER(Rutas,_xlfn._xlws.FILTER($B$2:$B$10000,$B$2:$B$10000&lt;&gt;"")=VALUE(INDEX(IdClientes,MATCH(BGP2,Clientes,0))))</f>
        <v>#VALUE!</v>
      </c>
      <c r="BGQ3" s="28" t="e" cm="1" vm="1">
        <f t="array" ref="BGQ3">_xlfn._xlws.FILTER(Rutas,_xlfn._xlws.FILTER($B$2:$B$10000,$B$2:$B$10000&lt;&gt;"")=VALUE(INDEX(IdClientes,MATCH(BGQ2,Clientes,0))))</f>
        <v>#VALUE!</v>
      </c>
      <c r="BGR3" s="28" t="e" cm="1" vm="1">
        <f t="array" ref="BGR3">_xlfn._xlws.FILTER(Rutas,_xlfn._xlws.FILTER($B$2:$B$10000,$B$2:$B$10000&lt;&gt;"")=VALUE(INDEX(IdClientes,MATCH(BGR2,Clientes,0))))</f>
        <v>#VALUE!</v>
      </c>
      <c r="BGS3" s="28" t="e" cm="1" vm="1">
        <f t="array" ref="BGS3">_xlfn._xlws.FILTER(Rutas,_xlfn._xlws.FILTER($B$2:$B$10000,$B$2:$B$10000&lt;&gt;"")=VALUE(INDEX(IdClientes,MATCH(BGS2,Clientes,0))))</f>
        <v>#VALUE!</v>
      </c>
      <c r="BGT3" s="28" t="e" cm="1" vm="1">
        <f t="array" ref="BGT3">_xlfn._xlws.FILTER(Rutas,_xlfn._xlws.FILTER($B$2:$B$10000,$B$2:$B$10000&lt;&gt;"")=VALUE(INDEX(IdClientes,MATCH(BGT2,Clientes,0))))</f>
        <v>#VALUE!</v>
      </c>
      <c r="BGU3" s="28" t="e" cm="1" vm="1">
        <f t="array" ref="BGU3">_xlfn._xlws.FILTER(Rutas,_xlfn._xlws.FILTER($B$2:$B$10000,$B$2:$B$10000&lt;&gt;"")=VALUE(INDEX(IdClientes,MATCH(BGU2,Clientes,0))))</f>
        <v>#VALUE!</v>
      </c>
      <c r="BGV3" s="28" t="e" cm="1" vm="1">
        <f t="array" ref="BGV3">_xlfn._xlws.FILTER(Rutas,_xlfn._xlws.FILTER($B$2:$B$10000,$B$2:$B$10000&lt;&gt;"")=VALUE(INDEX(IdClientes,MATCH(BGV2,Clientes,0))))</f>
        <v>#VALUE!</v>
      </c>
      <c r="BGW3" s="28" t="e" cm="1" vm="1">
        <f t="array" ref="BGW3">_xlfn._xlws.FILTER(Rutas,_xlfn._xlws.FILTER($B$2:$B$10000,$B$2:$B$10000&lt;&gt;"")=VALUE(INDEX(IdClientes,MATCH(BGW2,Clientes,0))))</f>
        <v>#VALUE!</v>
      </c>
      <c r="BGX3" s="28" t="e" cm="1" vm="1">
        <f t="array" ref="BGX3">_xlfn._xlws.FILTER(Rutas,_xlfn._xlws.FILTER($B$2:$B$10000,$B$2:$B$10000&lt;&gt;"")=VALUE(INDEX(IdClientes,MATCH(BGX2,Clientes,0))))</f>
        <v>#VALUE!</v>
      </c>
      <c r="BGY3" s="28" t="e" cm="1" vm="1">
        <f t="array" ref="BGY3">_xlfn._xlws.FILTER(Rutas,_xlfn._xlws.FILTER($B$2:$B$10000,$B$2:$B$10000&lt;&gt;"")=VALUE(INDEX(IdClientes,MATCH(BGY2,Clientes,0))))</f>
        <v>#VALUE!</v>
      </c>
      <c r="BGZ3" s="28" t="e" cm="1" vm="1">
        <f t="array" ref="BGZ3">_xlfn._xlws.FILTER(Rutas,_xlfn._xlws.FILTER($B$2:$B$10000,$B$2:$B$10000&lt;&gt;"")=VALUE(INDEX(IdClientes,MATCH(BGZ2,Clientes,0))))</f>
        <v>#VALUE!</v>
      </c>
      <c r="BHA3" s="28" t="e" cm="1" vm="1">
        <f t="array" ref="BHA3">_xlfn._xlws.FILTER(Rutas,_xlfn._xlws.FILTER($B$2:$B$10000,$B$2:$B$10000&lt;&gt;"")=VALUE(INDEX(IdClientes,MATCH(BHA2,Clientes,0))))</f>
        <v>#VALUE!</v>
      </c>
      <c r="BHB3" s="28" t="e" cm="1" vm="1">
        <f t="array" ref="BHB3">_xlfn._xlws.FILTER(Rutas,_xlfn._xlws.FILTER($B$2:$B$10000,$B$2:$B$10000&lt;&gt;"")=VALUE(INDEX(IdClientes,MATCH(BHB2,Clientes,0))))</f>
        <v>#VALUE!</v>
      </c>
      <c r="BHC3" s="28" t="e" cm="1" vm="1">
        <f t="array" ref="BHC3">_xlfn._xlws.FILTER(Rutas,_xlfn._xlws.FILTER($B$2:$B$10000,$B$2:$B$10000&lt;&gt;"")=VALUE(INDEX(IdClientes,MATCH(BHC2,Clientes,0))))</f>
        <v>#VALUE!</v>
      </c>
      <c r="BHD3" s="28" t="e" cm="1" vm="1">
        <f t="array" ref="BHD3">_xlfn._xlws.FILTER(Rutas,_xlfn._xlws.FILTER($B$2:$B$10000,$B$2:$B$10000&lt;&gt;"")=VALUE(INDEX(IdClientes,MATCH(BHD2,Clientes,0))))</f>
        <v>#VALUE!</v>
      </c>
      <c r="BHE3" s="28" t="e" cm="1" vm="1">
        <f t="array" ref="BHE3">_xlfn._xlws.FILTER(Rutas,_xlfn._xlws.FILTER($B$2:$B$10000,$B$2:$B$10000&lt;&gt;"")=VALUE(INDEX(IdClientes,MATCH(BHE2,Clientes,0))))</f>
        <v>#VALUE!</v>
      </c>
      <c r="BHF3" s="28" t="e" cm="1" vm="1">
        <f t="array" ref="BHF3">_xlfn._xlws.FILTER(Rutas,_xlfn._xlws.FILTER($B$2:$B$10000,$B$2:$B$10000&lt;&gt;"")=VALUE(INDEX(IdClientes,MATCH(BHF2,Clientes,0))))</f>
        <v>#VALUE!</v>
      </c>
      <c r="BHG3" s="28" t="e" cm="1" vm="1">
        <f t="array" ref="BHG3">_xlfn._xlws.FILTER(Rutas,_xlfn._xlws.FILTER($B$2:$B$10000,$B$2:$B$10000&lt;&gt;"")=VALUE(INDEX(IdClientes,MATCH(BHG2,Clientes,0))))</f>
        <v>#VALUE!</v>
      </c>
      <c r="BHH3" s="28" t="e" cm="1" vm="1">
        <f t="array" ref="BHH3">_xlfn._xlws.FILTER(Rutas,_xlfn._xlws.FILTER($B$2:$B$10000,$B$2:$B$10000&lt;&gt;"")=VALUE(INDEX(IdClientes,MATCH(BHH2,Clientes,0))))</f>
        <v>#VALUE!</v>
      </c>
      <c r="BHI3" s="28" t="e" cm="1" vm="1">
        <f t="array" ref="BHI3">_xlfn._xlws.FILTER(Rutas,_xlfn._xlws.FILTER($B$2:$B$10000,$B$2:$B$10000&lt;&gt;"")=VALUE(INDEX(IdClientes,MATCH(BHI2,Clientes,0))))</f>
        <v>#VALUE!</v>
      </c>
      <c r="BHJ3" s="28" t="e" cm="1" vm="1">
        <f t="array" ref="BHJ3">_xlfn._xlws.FILTER(Rutas,_xlfn._xlws.FILTER($B$2:$B$10000,$B$2:$B$10000&lt;&gt;"")=VALUE(INDEX(IdClientes,MATCH(BHJ2,Clientes,0))))</f>
        <v>#VALUE!</v>
      </c>
      <c r="BHK3" s="28" t="e" cm="1" vm="1">
        <f t="array" ref="BHK3">_xlfn._xlws.FILTER(Rutas,_xlfn._xlws.FILTER($B$2:$B$10000,$B$2:$B$10000&lt;&gt;"")=VALUE(INDEX(IdClientes,MATCH(BHK2,Clientes,0))))</f>
        <v>#VALUE!</v>
      </c>
      <c r="BHL3" s="28" t="e" cm="1" vm="1">
        <f t="array" ref="BHL3">_xlfn._xlws.FILTER(Rutas,_xlfn._xlws.FILTER($B$2:$B$10000,$B$2:$B$10000&lt;&gt;"")=VALUE(INDEX(IdClientes,MATCH(BHL2,Clientes,0))))</f>
        <v>#VALUE!</v>
      </c>
      <c r="BHM3" s="28" t="e" cm="1" vm="1">
        <f t="array" ref="BHM3">_xlfn._xlws.FILTER(Rutas,_xlfn._xlws.FILTER($B$2:$B$10000,$B$2:$B$10000&lt;&gt;"")=VALUE(INDEX(IdClientes,MATCH(BHM2,Clientes,0))))</f>
        <v>#VALUE!</v>
      </c>
      <c r="BHN3" s="28" t="e" cm="1" vm="1">
        <f t="array" ref="BHN3">_xlfn._xlws.FILTER(Rutas,_xlfn._xlws.FILTER($B$2:$B$10000,$B$2:$B$10000&lt;&gt;"")=VALUE(INDEX(IdClientes,MATCH(BHN2,Clientes,0))))</f>
        <v>#VALUE!</v>
      </c>
      <c r="BHO3" s="28" t="e" cm="1" vm="1">
        <f t="array" ref="BHO3">_xlfn._xlws.FILTER(Rutas,_xlfn._xlws.FILTER($B$2:$B$10000,$B$2:$B$10000&lt;&gt;"")=VALUE(INDEX(IdClientes,MATCH(BHO2,Clientes,0))))</f>
        <v>#VALUE!</v>
      </c>
      <c r="BHP3" s="28" t="e" cm="1" vm="1">
        <f t="array" ref="BHP3">_xlfn._xlws.FILTER(Rutas,_xlfn._xlws.FILTER($B$2:$B$10000,$B$2:$B$10000&lt;&gt;"")=VALUE(INDEX(IdClientes,MATCH(BHP2,Clientes,0))))</f>
        <v>#VALUE!</v>
      </c>
      <c r="BHQ3" s="28" t="e" cm="1" vm="1">
        <f t="array" ref="BHQ3">_xlfn._xlws.FILTER(Rutas,_xlfn._xlws.FILTER($B$2:$B$10000,$B$2:$B$10000&lt;&gt;"")=VALUE(INDEX(IdClientes,MATCH(BHQ2,Clientes,0))))</f>
        <v>#VALUE!</v>
      </c>
      <c r="BHR3" s="28" t="e" cm="1" vm="1">
        <f t="array" ref="BHR3">_xlfn._xlws.FILTER(Rutas,_xlfn._xlws.FILTER($B$2:$B$10000,$B$2:$B$10000&lt;&gt;"")=VALUE(INDEX(IdClientes,MATCH(BHR2,Clientes,0))))</f>
        <v>#VALUE!</v>
      </c>
      <c r="BHS3" s="28" t="e" cm="1" vm="1">
        <f t="array" ref="BHS3">_xlfn._xlws.FILTER(Rutas,_xlfn._xlws.FILTER($B$2:$B$10000,$B$2:$B$10000&lt;&gt;"")=VALUE(INDEX(IdClientes,MATCH(BHS2,Clientes,0))))</f>
        <v>#VALUE!</v>
      </c>
      <c r="BHT3" s="28" t="e" cm="1" vm="1">
        <f t="array" ref="BHT3">_xlfn._xlws.FILTER(Rutas,_xlfn._xlws.FILTER($B$2:$B$10000,$B$2:$B$10000&lt;&gt;"")=VALUE(INDEX(IdClientes,MATCH(BHT2,Clientes,0))))</f>
        <v>#VALUE!</v>
      </c>
      <c r="BHU3" s="28" t="e" cm="1" vm="1">
        <f t="array" ref="BHU3">_xlfn._xlws.FILTER(Rutas,_xlfn._xlws.FILTER($B$2:$B$10000,$B$2:$B$10000&lt;&gt;"")=VALUE(INDEX(IdClientes,MATCH(BHU2,Clientes,0))))</f>
        <v>#VALUE!</v>
      </c>
      <c r="BHV3" s="28" t="e" cm="1" vm="1">
        <f t="array" ref="BHV3">_xlfn._xlws.FILTER(Rutas,_xlfn._xlws.FILTER($B$2:$B$10000,$B$2:$B$10000&lt;&gt;"")=VALUE(INDEX(IdClientes,MATCH(BHV2,Clientes,0))))</f>
        <v>#VALUE!</v>
      </c>
      <c r="BHW3" s="28" t="e" cm="1" vm="1">
        <f t="array" ref="BHW3">_xlfn._xlws.FILTER(Rutas,_xlfn._xlws.FILTER($B$2:$B$10000,$B$2:$B$10000&lt;&gt;"")=VALUE(INDEX(IdClientes,MATCH(BHW2,Clientes,0))))</f>
        <v>#VALUE!</v>
      </c>
      <c r="BHX3" s="28" t="e" cm="1" vm="1">
        <f t="array" ref="BHX3">_xlfn._xlws.FILTER(Rutas,_xlfn._xlws.FILTER($B$2:$B$10000,$B$2:$B$10000&lt;&gt;"")=VALUE(INDEX(IdClientes,MATCH(BHX2,Clientes,0))))</f>
        <v>#VALUE!</v>
      </c>
      <c r="BHY3" s="28" t="e" cm="1" vm="1">
        <f t="array" ref="BHY3">_xlfn._xlws.FILTER(Rutas,_xlfn._xlws.FILTER($B$2:$B$10000,$B$2:$B$10000&lt;&gt;"")=VALUE(INDEX(IdClientes,MATCH(BHY2,Clientes,0))))</f>
        <v>#VALUE!</v>
      </c>
      <c r="BHZ3" s="28" t="e" cm="1" vm="1">
        <f t="array" ref="BHZ3">_xlfn._xlws.FILTER(Rutas,_xlfn._xlws.FILTER($B$2:$B$10000,$B$2:$B$10000&lt;&gt;"")=VALUE(INDEX(IdClientes,MATCH(BHZ2,Clientes,0))))</f>
        <v>#VALUE!</v>
      </c>
      <c r="BIA3" s="28" t="e" cm="1" vm="1">
        <f t="array" ref="BIA3">_xlfn._xlws.FILTER(Rutas,_xlfn._xlws.FILTER($B$2:$B$10000,$B$2:$B$10000&lt;&gt;"")=VALUE(INDEX(IdClientes,MATCH(BIA2,Clientes,0))))</f>
        <v>#VALUE!</v>
      </c>
      <c r="BIB3" s="28" t="e" cm="1" vm="1">
        <f t="array" ref="BIB3">_xlfn._xlws.FILTER(Rutas,_xlfn._xlws.FILTER($B$2:$B$10000,$B$2:$B$10000&lt;&gt;"")=VALUE(INDEX(IdClientes,MATCH(BIB2,Clientes,0))))</f>
        <v>#VALUE!</v>
      </c>
      <c r="BIC3" s="28" t="e" cm="1" vm="1">
        <f t="array" ref="BIC3">_xlfn._xlws.FILTER(Rutas,_xlfn._xlws.FILTER($B$2:$B$10000,$B$2:$B$10000&lt;&gt;"")=VALUE(INDEX(IdClientes,MATCH(BIC2,Clientes,0))))</f>
        <v>#VALUE!</v>
      </c>
      <c r="BID3" s="28" t="e" cm="1" vm="1">
        <f t="array" ref="BID3">_xlfn._xlws.FILTER(Rutas,_xlfn._xlws.FILTER($B$2:$B$10000,$B$2:$B$10000&lt;&gt;"")=VALUE(INDEX(IdClientes,MATCH(BID2,Clientes,0))))</f>
        <v>#VALUE!</v>
      </c>
      <c r="BIE3" s="28" t="e" cm="1" vm="1">
        <f t="array" ref="BIE3">_xlfn._xlws.FILTER(Rutas,_xlfn._xlws.FILTER($B$2:$B$10000,$B$2:$B$10000&lt;&gt;"")=VALUE(INDEX(IdClientes,MATCH(BIE2,Clientes,0))))</f>
        <v>#VALUE!</v>
      </c>
      <c r="BIF3" s="28" t="e" cm="1" vm="1">
        <f t="array" ref="BIF3">_xlfn._xlws.FILTER(Rutas,_xlfn._xlws.FILTER($B$2:$B$10000,$B$2:$B$10000&lt;&gt;"")=VALUE(INDEX(IdClientes,MATCH(BIF2,Clientes,0))))</f>
        <v>#VALUE!</v>
      </c>
      <c r="BIG3" s="28" t="e" cm="1" vm="1">
        <f t="array" ref="BIG3">_xlfn._xlws.FILTER(Rutas,_xlfn._xlws.FILTER($B$2:$B$10000,$B$2:$B$10000&lt;&gt;"")=VALUE(INDEX(IdClientes,MATCH(BIG2,Clientes,0))))</f>
        <v>#VALUE!</v>
      </c>
      <c r="BIH3" s="28" t="e" cm="1" vm="1">
        <f t="array" ref="BIH3">_xlfn._xlws.FILTER(Rutas,_xlfn._xlws.FILTER($B$2:$B$10000,$B$2:$B$10000&lt;&gt;"")=VALUE(INDEX(IdClientes,MATCH(BIH2,Clientes,0))))</f>
        <v>#VALUE!</v>
      </c>
      <c r="BII3" s="28" t="e" cm="1" vm="1">
        <f t="array" ref="BII3">_xlfn._xlws.FILTER(Rutas,_xlfn._xlws.FILTER($B$2:$B$10000,$B$2:$B$10000&lt;&gt;"")=VALUE(INDEX(IdClientes,MATCH(BII2,Clientes,0))))</f>
        <v>#VALUE!</v>
      </c>
      <c r="BIJ3" s="28" t="e" cm="1" vm="1">
        <f t="array" ref="BIJ3">_xlfn._xlws.FILTER(Rutas,_xlfn._xlws.FILTER($B$2:$B$10000,$B$2:$B$10000&lt;&gt;"")=VALUE(INDEX(IdClientes,MATCH(BIJ2,Clientes,0))))</f>
        <v>#VALUE!</v>
      </c>
      <c r="BIK3" s="28" t="e" cm="1" vm="1">
        <f t="array" ref="BIK3">_xlfn._xlws.FILTER(Rutas,_xlfn._xlws.FILTER($B$2:$B$10000,$B$2:$B$10000&lt;&gt;"")=VALUE(INDEX(IdClientes,MATCH(BIK2,Clientes,0))))</f>
        <v>#VALUE!</v>
      </c>
      <c r="BIL3" s="28" t="e" cm="1" vm="1">
        <f t="array" ref="BIL3">_xlfn._xlws.FILTER(Rutas,_xlfn._xlws.FILTER($B$2:$B$10000,$B$2:$B$10000&lt;&gt;"")=VALUE(INDEX(IdClientes,MATCH(BIL2,Clientes,0))))</f>
        <v>#VALUE!</v>
      </c>
      <c r="BIM3" s="28" t="e" cm="1" vm="1">
        <f t="array" ref="BIM3">_xlfn._xlws.FILTER(Rutas,_xlfn._xlws.FILTER($B$2:$B$10000,$B$2:$B$10000&lt;&gt;"")=VALUE(INDEX(IdClientes,MATCH(BIM2,Clientes,0))))</f>
        <v>#VALUE!</v>
      </c>
      <c r="BIN3" s="28" t="e" cm="1" vm="1">
        <f t="array" ref="BIN3">_xlfn._xlws.FILTER(Rutas,_xlfn._xlws.FILTER($B$2:$B$10000,$B$2:$B$10000&lt;&gt;"")=VALUE(INDEX(IdClientes,MATCH(BIN2,Clientes,0))))</f>
        <v>#VALUE!</v>
      </c>
      <c r="BIO3" s="28" t="e" cm="1" vm="1">
        <f t="array" ref="BIO3">_xlfn._xlws.FILTER(Rutas,_xlfn._xlws.FILTER($B$2:$B$10000,$B$2:$B$10000&lt;&gt;"")=VALUE(INDEX(IdClientes,MATCH(BIO2,Clientes,0))))</f>
        <v>#VALUE!</v>
      </c>
      <c r="BIP3" s="28" t="e" cm="1" vm="1">
        <f t="array" ref="BIP3">_xlfn._xlws.FILTER(Rutas,_xlfn._xlws.FILTER($B$2:$B$10000,$B$2:$B$10000&lt;&gt;"")=VALUE(INDEX(IdClientes,MATCH(BIP2,Clientes,0))))</f>
        <v>#VALUE!</v>
      </c>
      <c r="BIQ3" s="28" t="e" cm="1" vm="1">
        <f t="array" ref="BIQ3">_xlfn._xlws.FILTER(Rutas,_xlfn._xlws.FILTER($B$2:$B$10000,$B$2:$B$10000&lt;&gt;"")=VALUE(INDEX(IdClientes,MATCH(BIQ2,Clientes,0))))</f>
        <v>#VALUE!</v>
      </c>
      <c r="BIR3" s="28" t="e" cm="1" vm="1">
        <f t="array" ref="BIR3">_xlfn._xlws.FILTER(Rutas,_xlfn._xlws.FILTER($B$2:$B$10000,$B$2:$B$10000&lt;&gt;"")=VALUE(INDEX(IdClientes,MATCH(BIR2,Clientes,0))))</f>
        <v>#VALUE!</v>
      </c>
      <c r="BIS3" s="28" t="e" cm="1" vm="1">
        <f t="array" ref="BIS3">_xlfn._xlws.FILTER(Rutas,_xlfn._xlws.FILTER($B$2:$B$10000,$B$2:$B$10000&lt;&gt;"")=VALUE(INDEX(IdClientes,MATCH(BIS2,Clientes,0))))</f>
        <v>#VALUE!</v>
      </c>
      <c r="BIT3" s="28" t="e" cm="1" vm="1">
        <f t="array" ref="BIT3">_xlfn._xlws.FILTER(Rutas,_xlfn._xlws.FILTER($B$2:$B$10000,$B$2:$B$10000&lt;&gt;"")=VALUE(INDEX(IdClientes,MATCH(BIT2,Clientes,0))))</f>
        <v>#VALUE!</v>
      </c>
      <c r="BIU3" s="28" t="e" cm="1" vm="1">
        <f t="array" ref="BIU3">_xlfn._xlws.FILTER(Rutas,_xlfn._xlws.FILTER($B$2:$B$10000,$B$2:$B$10000&lt;&gt;"")=VALUE(INDEX(IdClientes,MATCH(BIU2,Clientes,0))))</f>
        <v>#VALUE!</v>
      </c>
      <c r="BIV3" s="28" t="e" cm="1" vm="1">
        <f t="array" ref="BIV3">_xlfn._xlws.FILTER(Rutas,_xlfn._xlws.FILTER($B$2:$B$10000,$B$2:$B$10000&lt;&gt;"")=VALUE(INDEX(IdClientes,MATCH(BIV2,Clientes,0))))</f>
        <v>#VALUE!</v>
      </c>
      <c r="BIW3" s="28" t="e" cm="1" vm="1">
        <f t="array" ref="BIW3">_xlfn._xlws.FILTER(Rutas,_xlfn._xlws.FILTER($B$2:$B$10000,$B$2:$B$10000&lt;&gt;"")=VALUE(INDEX(IdClientes,MATCH(BIW2,Clientes,0))))</f>
        <v>#VALUE!</v>
      </c>
      <c r="BIX3" s="28" t="e" cm="1" vm="1">
        <f t="array" ref="BIX3">_xlfn._xlws.FILTER(Rutas,_xlfn._xlws.FILTER($B$2:$B$10000,$B$2:$B$10000&lt;&gt;"")=VALUE(INDEX(IdClientes,MATCH(BIX2,Clientes,0))))</f>
        <v>#VALUE!</v>
      </c>
      <c r="BIY3" s="28" t="e" cm="1" vm="1">
        <f t="array" ref="BIY3">_xlfn._xlws.FILTER(Rutas,_xlfn._xlws.FILTER($B$2:$B$10000,$B$2:$B$10000&lt;&gt;"")=VALUE(INDEX(IdClientes,MATCH(BIY2,Clientes,0))))</f>
        <v>#VALUE!</v>
      </c>
      <c r="BIZ3" s="28" t="e" cm="1" vm="1">
        <f t="array" ref="BIZ3">_xlfn._xlws.FILTER(Rutas,_xlfn._xlws.FILTER($B$2:$B$10000,$B$2:$B$10000&lt;&gt;"")=VALUE(INDEX(IdClientes,MATCH(BIZ2,Clientes,0))))</f>
        <v>#VALUE!</v>
      </c>
      <c r="BJA3" s="28" t="e" cm="1" vm="1">
        <f t="array" ref="BJA3">_xlfn._xlws.FILTER(Rutas,_xlfn._xlws.FILTER($B$2:$B$10000,$B$2:$B$10000&lt;&gt;"")=VALUE(INDEX(IdClientes,MATCH(BJA2,Clientes,0))))</f>
        <v>#VALUE!</v>
      </c>
      <c r="BJB3" s="28" t="e" cm="1" vm="1">
        <f t="array" ref="BJB3">_xlfn._xlws.FILTER(Rutas,_xlfn._xlws.FILTER($B$2:$B$10000,$B$2:$B$10000&lt;&gt;"")=VALUE(INDEX(IdClientes,MATCH(BJB2,Clientes,0))))</f>
        <v>#VALUE!</v>
      </c>
      <c r="BJC3" s="28" t="e" cm="1" vm="1">
        <f t="array" ref="BJC3">_xlfn._xlws.FILTER(Rutas,_xlfn._xlws.FILTER($B$2:$B$10000,$B$2:$B$10000&lt;&gt;"")=VALUE(INDEX(IdClientes,MATCH(BJC2,Clientes,0))))</f>
        <v>#VALUE!</v>
      </c>
      <c r="BJD3" s="28" t="e" cm="1" vm="1">
        <f t="array" ref="BJD3">_xlfn._xlws.FILTER(Rutas,_xlfn._xlws.FILTER($B$2:$B$10000,$B$2:$B$10000&lt;&gt;"")=VALUE(INDEX(IdClientes,MATCH(BJD2,Clientes,0))))</f>
        <v>#VALUE!</v>
      </c>
      <c r="BJE3" s="28" t="e" cm="1" vm="1">
        <f t="array" ref="BJE3">_xlfn._xlws.FILTER(Rutas,_xlfn._xlws.FILTER($B$2:$B$10000,$B$2:$B$10000&lt;&gt;"")=VALUE(INDEX(IdClientes,MATCH(BJE2,Clientes,0))))</f>
        <v>#VALUE!</v>
      </c>
      <c r="BJF3" s="28" t="e" cm="1" vm="1">
        <f t="array" ref="BJF3">_xlfn._xlws.FILTER(Rutas,_xlfn._xlws.FILTER($B$2:$B$10000,$B$2:$B$10000&lt;&gt;"")=VALUE(INDEX(IdClientes,MATCH(BJF2,Clientes,0))))</f>
        <v>#VALUE!</v>
      </c>
      <c r="BJG3" s="28" t="e" cm="1" vm="1">
        <f t="array" ref="BJG3">_xlfn._xlws.FILTER(Rutas,_xlfn._xlws.FILTER($B$2:$B$10000,$B$2:$B$10000&lt;&gt;"")=VALUE(INDEX(IdClientes,MATCH(BJG2,Clientes,0))))</f>
        <v>#VALUE!</v>
      </c>
      <c r="BJH3" s="28" t="e" cm="1" vm="1">
        <f t="array" ref="BJH3">_xlfn._xlws.FILTER(Rutas,_xlfn._xlws.FILTER($B$2:$B$10000,$B$2:$B$10000&lt;&gt;"")=VALUE(INDEX(IdClientes,MATCH(BJH2,Clientes,0))))</f>
        <v>#VALUE!</v>
      </c>
      <c r="BJI3" s="28" t="e" cm="1" vm="1">
        <f t="array" ref="BJI3">_xlfn._xlws.FILTER(Rutas,_xlfn._xlws.FILTER($B$2:$B$10000,$B$2:$B$10000&lt;&gt;"")=VALUE(INDEX(IdClientes,MATCH(BJI2,Clientes,0))))</f>
        <v>#VALUE!</v>
      </c>
      <c r="BJJ3" s="28" t="e" cm="1" vm="1">
        <f t="array" ref="BJJ3">_xlfn._xlws.FILTER(Rutas,_xlfn._xlws.FILTER($B$2:$B$10000,$B$2:$B$10000&lt;&gt;"")=VALUE(INDEX(IdClientes,MATCH(BJJ2,Clientes,0))))</f>
        <v>#VALUE!</v>
      </c>
      <c r="BJK3" s="28" t="e" cm="1" vm="1">
        <f t="array" ref="BJK3">_xlfn._xlws.FILTER(Rutas,_xlfn._xlws.FILTER($B$2:$B$10000,$B$2:$B$10000&lt;&gt;"")=VALUE(INDEX(IdClientes,MATCH(BJK2,Clientes,0))))</f>
        <v>#VALUE!</v>
      </c>
      <c r="BJL3" s="28" t="e" cm="1" vm="1">
        <f t="array" ref="BJL3">_xlfn._xlws.FILTER(Rutas,_xlfn._xlws.FILTER($B$2:$B$10000,$B$2:$B$10000&lt;&gt;"")=VALUE(INDEX(IdClientes,MATCH(BJL2,Clientes,0))))</f>
        <v>#VALUE!</v>
      </c>
      <c r="BJM3" s="28" t="e" cm="1" vm="1">
        <f t="array" ref="BJM3">_xlfn._xlws.FILTER(Rutas,_xlfn._xlws.FILTER($B$2:$B$10000,$B$2:$B$10000&lt;&gt;"")=VALUE(INDEX(IdClientes,MATCH(BJM2,Clientes,0))))</f>
        <v>#VALUE!</v>
      </c>
      <c r="BJN3" s="28" t="e" cm="1" vm="1">
        <f t="array" ref="BJN3">_xlfn._xlws.FILTER(Rutas,_xlfn._xlws.FILTER($B$2:$B$10000,$B$2:$B$10000&lt;&gt;"")=VALUE(INDEX(IdClientes,MATCH(BJN2,Clientes,0))))</f>
        <v>#VALUE!</v>
      </c>
      <c r="BJO3" s="28" t="e" cm="1" vm="1">
        <f t="array" ref="BJO3">_xlfn._xlws.FILTER(Rutas,_xlfn._xlws.FILTER($B$2:$B$10000,$B$2:$B$10000&lt;&gt;"")=VALUE(INDEX(IdClientes,MATCH(BJO2,Clientes,0))))</f>
        <v>#VALUE!</v>
      </c>
      <c r="BJP3" s="28" t="e" cm="1" vm="1">
        <f t="array" ref="BJP3">_xlfn._xlws.FILTER(Rutas,_xlfn._xlws.FILTER($B$2:$B$10000,$B$2:$B$10000&lt;&gt;"")=VALUE(INDEX(IdClientes,MATCH(BJP2,Clientes,0))))</f>
        <v>#VALUE!</v>
      </c>
      <c r="BJQ3" s="28" t="e" cm="1" vm="1">
        <f t="array" ref="BJQ3">_xlfn._xlws.FILTER(Rutas,_xlfn._xlws.FILTER($B$2:$B$10000,$B$2:$B$10000&lt;&gt;"")=VALUE(INDEX(IdClientes,MATCH(BJQ2,Clientes,0))))</f>
        <v>#VALUE!</v>
      </c>
      <c r="BJR3" s="28" t="e" cm="1" vm="1">
        <f t="array" ref="BJR3">_xlfn._xlws.FILTER(Rutas,_xlfn._xlws.FILTER($B$2:$B$10000,$B$2:$B$10000&lt;&gt;"")=VALUE(INDEX(IdClientes,MATCH(BJR2,Clientes,0))))</f>
        <v>#VALUE!</v>
      </c>
      <c r="BJS3" s="28" t="e" cm="1" vm="1">
        <f t="array" ref="BJS3">_xlfn._xlws.FILTER(Rutas,_xlfn._xlws.FILTER($B$2:$B$10000,$B$2:$B$10000&lt;&gt;"")=VALUE(INDEX(IdClientes,MATCH(BJS2,Clientes,0))))</f>
        <v>#VALUE!</v>
      </c>
      <c r="BJT3" s="28" t="e" cm="1" vm="1">
        <f t="array" ref="BJT3">_xlfn._xlws.FILTER(Rutas,_xlfn._xlws.FILTER($B$2:$B$10000,$B$2:$B$10000&lt;&gt;"")=VALUE(INDEX(IdClientes,MATCH(BJT2,Clientes,0))))</f>
        <v>#VALUE!</v>
      </c>
      <c r="BJU3" s="28" t="e" cm="1" vm="1">
        <f t="array" ref="BJU3">_xlfn._xlws.FILTER(Rutas,_xlfn._xlws.FILTER($B$2:$B$10000,$B$2:$B$10000&lt;&gt;"")=VALUE(INDEX(IdClientes,MATCH(BJU2,Clientes,0))))</f>
        <v>#VALUE!</v>
      </c>
      <c r="BJV3" s="28" t="e" cm="1" vm="1">
        <f t="array" ref="BJV3">_xlfn._xlws.FILTER(Rutas,_xlfn._xlws.FILTER($B$2:$B$10000,$B$2:$B$10000&lt;&gt;"")=VALUE(INDEX(IdClientes,MATCH(BJV2,Clientes,0))))</f>
        <v>#VALUE!</v>
      </c>
      <c r="BJW3" s="28" t="e" cm="1" vm="1">
        <f t="array" ref="BJW3">_xlfn._xlws.FILTER(Rutas,_xlfn._xlws.FILTER($B$2:$B$10000,$B$2:$B$10000&lt;&gt;"")=VALUE(INDEX(IdClientes,MATCH(BJW2,Clientes,0))))</f>
        <v>#VALUE!</v>
      </c>
      <c r="BJX3" s="28" t="e" cm="1" vm="1">
        <f t="array" ref="BJX3">_xlfn._xlws.FILTER(Rutas,_xlfn._xlws.FILTER($B$2:$B$10000,$B$2:$B$10000&lt;&gt;"")=VALUE(INDEX(IdClientes,MATCH(BJX2,Clientes,0))))</f>
        <v>#VALUE!</v>
      </c>
      <c r="BJY3" s="28" t="e" cm="1" vm="1">
        <f t="array" ref="BJY3">_xlfn._xlws.FILTER(Rutas,_xlfn._xlws.FILTER($B$2:$B$10000,$B$2:$B$10000&lt;&gt;"")=VALUE(INDEX(IdClientes,MATCH(BJY2,Clientes,0))))</f>
        <v>#VALUE!</v>
      </c>
      <c r="BJZ3" s="28" t="e" cm="1" vm="1">
        <f t="array" ref="BJZ3">_xlfn._xlws.FILTER(Rutas,_xlfn._xlws.FILTER($B$2:$B$10000,$B$2:$B$10000&lt;&gt;"")=VALUE(INDEX(IdClientes,MATCH(BJZ2,Clientes,0))))</f>
        <v>#VALUE!</v>
      </c>
      <c r="BKA3" s="28" t="e" cm="1" vm="1">
        <f t="array" ref="BKA3">_xlfn._xlws.FILTER(Rutas,_xlfn._xlws.FILTER($B$2:$B$10000,$B$2:$B$10000&lt;&gt;"")=VALUE(INDEX(IdClientes,MATCH(BKA2,Clientes,0))))</f>
        <v>#VALUE!</v>
      </c>
      <c r="BKB3" s="28" t="e" cm="1" vm="1">
        <f t="array" ref="BKB3">_xlfn._xlws.FILTER(Rutas,_xlfn._xlws.FILTER($B$2:$B$10000,$B$2:$B$10000&lt;&gt;"")=VALUE(INDEX(IdClientes,MATCH(BKB2,Clientes,0))))</f>
        <v>#VALUE!</v>
      </c>
      <c r="BKC3" s="28" t="e" cm="1" vm="1">
        <f t="array" ref="BKC3">_xlfn._xlws.FILTER(Rutas,_xlfn._xlws.FILTER($B$2:$B$10000,$B$2:$B$10000&lt;&gt;"")=VALUE(INDEX(IdClientes,MATCH(BKC2,Clientes,0))))</f>
        <v>#VALUE!</v>
      </c>
      <c r="BKD3" s="28" t="e" cm="1" vm="1">
        <f t="array" ref="BKD3">_xlfn._xlws.FILTER(Rutas,_xlfn._xlws.FILTER($B$2:$B$10000,$B$2:$B$10000&lt;&gt;"")=VALUE(INDEX(IdClientes,MATCH(BKD2,Clientes,0))))</f>
        <v>#VALUE!</v>
      </c>
      <c r="BKE3" s="28" t="e" cm="1" vm="1">
        <f t="array" ref="BKE3">_xlfn._xlws.FILTER(Rutas,_xlfn._xlws.FILTER($B$2:$B$10000,$B$2:$B$10000&lt;&gt;"")=VALUE(INDEX(IdClientes,MATCH(BKE2,Clientes,0))))</f>
        <v>#VALUE!</v>
      </c>
      <c r="BKF3" s="28" t="e" cm="1" vm="1">
        <f t="array" ref="BKF3">_xlfn._xlws.FILTER(Rutas,_xlfn._xlws.FILTER($B$2:$B$10000,$B$2:$B$10000&lt;&gt;"")=VALUE(INDEX(IdClientes,MATCH(BKF2,Clientes,0))))</f>
        <v>#VALUE!</v>
      </c>
      <c r="BKG3" s="28" t="e" cm="1" vm="1">
        <f t="array" ref="BKG3">_xlfn._xlws.FILTER(Rutas,_xlfn._xlws.FILTER($B$2:$B$10000,$B$2:$B$10000&lt;&gt;"")=VALUE(INDEX(IdClientes,MATCH(BKG2,Clientes,0))))</f>
        <v>#VALUE!</v>
      </c>
      <c r="BKH3" s="28" t="e" cm="1" vm="1">
        <f t="array" ref="BKH3">_xlfn._xlws.FILTER(Rutas,_xlfn._xlws.FILTER($B$2:$B$10000,$B$2:$B$10000&lt;&gt;"")=VALUE(INDEX(IdClientes,MATCH(BKH2,Clientes,0))))</f>
        <v>#VALUE!</v>
      </c>
      <c r="BKI3" s="28" t="e" cm="1" vm="1">
        <f t="array" ref="BKI3">_xlfn._xlws.FILTER(Rutas,_xlfn._xlws.FILTER($B$2:$B$10000,$B$2:$B$10000&lt;&gt;"")=VALUE(INDEX(IdClientes,MATCH(BKI2,Clientes,0))))</f>
        <v>#VALUE!</v>
      </c>
      <c r="BKJ3" s="28" t="e" cm="1" vm="1">
        <f t="array" ref="BKJ3">_xlfn._xlws.FILTER(Rutas,_xlfn._xlws.FILTER($B$2:$B$10000,$B$2:$B$10000&lt;&gt;"")=VALUE(INDEX(IdClientes,MATCH(BKJ2,Clientes,0))))</f>
        <v>#VALUE!</v>
      </c>
      <c r="BKK3" s="28" t="e" cm="1" vm="1">
        <f t="array" ref="BKK3">_xlfn._xlws.FILTER(Rutas,_xlfn._xlws.FILTER($B$2:$B$10000,$B$2:$B$10000&lt;&gt;"")=VALUE(INDEX(IdClientes,MATCH(BKK2,Clientes,0))))</f>
        <v>#VALUE!</v>
      </c>
      <c r="BKL3" s="28" t="e" cm="1" vm="1">
        <f t="array" ref="BKL3">_xlfn._xlws.FILTER(Rutas,_xlfn._xlws.FILTER($B$2:$B$10000,$B$2:$B$10000&lt;&gt;"")=VALUE(INDEX(IdClientes,MATCH(BKL2,Clientes,0))))</f>
        <v>#VALUE!</v>
      </c>
      <c r="BKM3" s="28" t="e" cm="1" vm="1">
        <f t="array" ref="BKM3">_xlfn._xlws.FILTER(Rutas,_xlfn._xlws.FILTER($B$2:$B$10000,$B$2:$B$10000&lt;&gt;"")=VALUE(INDEX(IdClientes,MATCH(BKM2,Clientes,0))))</f>
        <v>#VALUE!</v>
      </c>
      <c r="BKN3" s="28" t="e" cm="1" vm="1">
        <f t="array" ref="BKN3">_xlfn._xlws.FILTER(Rutas,_xlfn._xlws.FILTER($B$2:$B$10000,$B$2:$B$10000&lt;&gt;"")=VALUE(INDEX(IdClientes,MATCH(BKN2,Clientes,0))))</f>
        <v>#VALUE!</v>
      </c>
      <c r="BKO3" s="28" t="e" cm="1" vm="1">
        <f t="array" ref="BKO3">_xlfn._xlws.FILTER(Rutas,_xlfn._xlws.FILTER($B$2:$B$10000,$B$2:$B$10000&lt;&gt;"")=VALUE(INDEX(IdClientes,MATCH(BKO2,Clientes,0))))</f>
        <v>#VALUE!</v>
      </c>
      <c r="BKP3" s="28" t="e" cm="1" vm="1">
        <f t="array" ref="BKP3">_xlfn._xlws.FILTER(Rutas,_xlfn._xlws.FILTER($B$2:$B$10000,$B$2:$B$10000&lt;&gt;"")=VALUE(INDEX(IdClientes,MATCH(BKP2,Clientes,0))))</f>
        <v>#VALUE!</v>
      </c>
      <c r="BKQ3" s="28" t="e" cm="1" vm="1">
        <f t="array" ref="BKQ3">_xlfn._xlws.FILTER(Rutas,_xlfn._xlws.FILTER($B$2:$B$10000,$B$2:$B$10000&lt;&gt;"")=VALUE(INDEX(IdClientes,MATCH(BKQ2,Clientes,0))))</f>
        <v>#VALUE!</v>
      </c>
      <c r="BKR3" s="28" t="e" cm="1" vm="1">
        <f t="array" ref="BKR3">_xlfn._xlws.FILTER(Rutas,_xlfn._xlws.FILTER($B$2:$B$10000,$B$2:$B$10000&lt;&gt;"")=VALUE(INDEX(IdClientes,MATCH(BKR2,Clientes,0))))</f>
        <v>#VALUE!</v>
      </c>
      <c r="BKS3" s="28" t="e" cm="1" vm="1">
        <f t="array" ref="BKS3">_xlfn._xlws.FILTER(Rutas,_xlfn._xlws.FILTER($B$2:$B$10000,$B$2:$B$10000&lt;&gt;"")=VALUE(INDEX(IdClientes,MATCH(BKS2,Clientes,0))))</f>
        <v>#VALUE!</v>
      </c>
      <c r="BKT3" s="28" t="e" cm="1" vm="1">
        <f t="array" ref="BKT3">_xlfn._xlws.FILTER(Rutas,_xlfn._xlws.FILTER($B$2:$B$10000,$B$2:$B$10000&lt;&gt;"")=VALUE(INDEX(IdClientes,MATCH(BKT2,Clientes,0))))</f>
        <v>#VALUE!</v>
      </c>
      <c r="BKU3" s="28" t="e" cm="1" vm="1">
        <f t="array" ref="BKU3">_xlfn._xlws.FILTER(Rutas,_xlfn._xlws.FILTER($B$2:$B$10000,$B$2:$B$10000&lt;&gt;"")=VALUE(INDEX(IdClientes,MATCH(BKU2,Clientes,0))))</f>
        <v>#VALUE!</v>
      </c>
      <c r="BKV3" s="28" t="e" cm="1" vm="1">
        <f t="array" ref="BKV3">_xlfn._xlws.FILTER(Rutas,_xlfn._xlws.FILTER($B$2:$B$10000,$B$2:$B$10000&lt;&gt;"")=VALUE(INDEX(IdClientes,MATCH(BKV2,Clientes,0))))</f>
        <v>#VALUE!</v>
      </c>
      <c r="BKW3" s="28" t="e" cm="1" vm="1">
        <f t="array" ref="BKW3">_xlfn._xlws.FILTER(Rutas,_xlfn._xlws.FILTER($B$2:$B$10000,$B$2:$B$10000&lt;&gt;"")=VALUE(INDEX(IdClientes,MATCH(BKW2,Clientes,0))))</f>
        <v>#VALUE!</v>
      </c>
      <c r="BKX3" s="28" t="e" cm="1" vm="1">
        <f t="array" ref="BKX3">_xlfn._xlws.FILTER(Rutas,_xlfn._xlws.FILTER($B$2:$B$10000,$B$2:$B$10000&lt;&gt;"")=VALUE(INDEX(IdClientes,MATCH(BKX2,Clientes,0))))</f>
        <v>#VALUE!</v>
      </c>
      <c r="BKY3" s="28" t="e" cm="1" vm="1">
        <f t="array" ref="BKY3">_xlfn._xlws.FILTER(Rutas,_xlfn._xlws.FILTER($B$2:$B$10000,$B$2:$B$10000&lt;&gt;"")=VALUE(INDEX(IdClientes,MATCH(BKY2,Clientes,0))))</f>
        <v>#VALUE!</v>
      </c>
      <c r="BKZ3" s="28" t="e" cm="1" vm="1">
        <f t="array" ref="BKZ3">_xlfn._xlws.FILTER(Rutas,_xlfn._xlws.FILTER($B$2:$B$10000,$B$2:$B$10000&lt;&gt;"")=VALUE(INDEX(IdClientes,MATCH(BKZ2,Clientes,0))))</f>
        <v>#VALUE!</v>
      </c>
      <c r="BLA3" s="28" t="e" cm="1" vm="1">
        <f t="array" ref="BLA3">_xlfn._xlws.FILTER(Rutas,_xlfn._xlws.FILTER($B$2:$B$10000,$B$2:$B$10000&lt;&gt;"")=VALUE(INDEX(IdClientes,MATCH(BLA2,Clientes,0))))</f>
        <v>#VALUE!</v>
      </c>
      <c r="BLB3" s="28" t="e" cm="1" vm="1">
        <f t="array" ref="BLB3">_xlfn._xlws.FILTER(Rutas,_xlfn._xlws.FILTER($B$2:$B$10000,$B$2:$B$10000&lt;&gt;"")=VALUE(INDEX(IdClientes,MATCH(BLB2,Clientes,0))))</f>
        <v>#VALUE!</v>
      </c>
      <c r="BLC3" s="28" t="e" cm="1" vm="1">
        <f t="array" ref="BLC3">_xlfn._xlws.FILTER(Rutas,_xlfn._xlws.FILTER($B$2:$B$10000,$B$2:$B$10000&lt;&gt;"")=VALUE(INDEX(IdClientes,MATCH(BLC2,Clientes,0))))</f>
        <v>#VALUE!</v>
      </c>
      <c r="BLD3" s="28" t="e" cm="1" vm="1">
        <f t="array" ref="BLD3">_xlfn._xlws.FILTER(Rutas,_xlfn._xlws.FILTER($B$2:$B$10000,$B$2:$B$10000&lt;&gt;"")=VALUE(INDEX(IdClientes,MATCH(BLD2,Clientes,0))))</f>
        <v>#VALUE!</v>
      </c>
      <c r="BLE3" s="28" t="e" cm="1" vm="1">
        <f t="array" ref="BLE3">_xlfn._xlws.FILTER(Rutas,_xlfn._xlws.FILTER($B$2:$B$10000,$B$2:$B$10000&lt;&gt;"")=VALUE(INDEX(IdClientes,MATCH(BLE2,Clientes,0))))</f>
        <v>#VALUE!</v>
      </c>
      <c r="BLF3" s="28" t="e" cm="1" vm="1">
        <f t="array" ref="BLF3">_xlfn._xlws.FILTER(Rutas,_xlfn._xlws.FILTER($B$2:$B$10000,$B$2:$B$10000&lt;&gt;"")=VALUE(INDEX(IdClientes,MATCH(BLF2,Clientes,0))))</f>
        <v>#VALUE!</v>
      </c>
      <c r="BLG3" s="28" t="e" cm="1" vm="1">
        <f t="array" ref="BLG3">_xlfn._xlws.FILTER(Rutas,_xlfn._xlws.FILTER($B$2:$B$10000,$B$2:$B$10000&lt;&gt;"")=VALUE(INDEX(IdClientes,MATCH(BLG2,Clientes,0))))</f>
        <v>#VALUE!</v>
      </c>
      <c r="BLH3" s="28" t="e" cm="1" vm="1">
        <f t="array" ref="BLH3">_xlfn._xlws.FILTER(Rutas,_xlfn._xlws.FILTER($B$2:$B$10000,$B$2:$B$10000&lt;&gt;"")=VALUE(INDEX(IdClientes,MATCH(BLH2,Clientes,0))))</f>
        <v>#VALUE!</v>
      </c>
      <c r="BLI3" s="28" t="e" cm="1" vm="1">
        <f t="array" ref="BLI3">_xlfn._xlws.FILTER(Rutas,_xlfn._xlws.FILTER($B$2:$B$10000,$B$2:$B$10000&lt;&gt;"")=VALUE(INDEX(IdClientes,MATCH(BLI2,Clientes,0))))</f>
        <v>#VALUE!</v>
      </c>
      <c r="BLJ3" s="28" t="e" cm="1" vm="1">
        <f t="array" ref="BLJ3">_xlfn._xlws.FILTER(Rutas,_xlfn._xlws.FILTER($B$2:$B$10000,$B$2:$B$10000&lt;&gt;"")=VALUE(INDEX(IdClientes,MATCH(BLJ2,Clientes,0))))</f>
        <v>#VALUE!</v>
      </c>
      <c r="BLK3" s="28" t="e" cm="1" vm="1">
        <f t="array" ref="BLK3">_xlfn._xlws.FILTER(Rutas,_xlfn._xlws.FILTER($B$2:$B$10000,$B$2:$B$10000&lt;&gt;"")=VALUE(INDEX(IdClientes,MATCH(BLK2,Clientes,0))))</f>
        <v>#VALUE!</v>
      </c>
      <c r="BLL3" s="28" t="e" cm="1" vm="1">
        <f t="array" ref="BLL3">_xlfn._xlws.FILTER(Rutas,_xlfn._xlws.FILTER($B$2:$B$10000,$B$2:$B$10000&lt;&gt;"")=VALUE(INDEX(IdClientes,MATCH(BLL2,Clientes,0))))</f>
        <v>#VALUE!</v>
      </c>
      <c r="BLM3" s="28" t="e" cm="1" vm="1">
        <f t="array" ref="BLM3">_xlfn._xlws.FILTER(Rutas,_xlfn._xlws.FILTER($B$2:$B$10000,$B$2:$B$10000&lt;&gt;"")=VALUE(INDEX(IdClientes,MATCH(BLM2,Clientes,0))))</f>
        <v>#VALUE!</v>
      </c>
      <c r="BLN3" s="28" t="e" cm="1" vm="1">
        <f t="array" ref="BLN3">_xlfn._xlws.FILTER(Rutas,_xlfn._xlws.FILTER($B$2:$B$10000,$B$2:$B$10000&lt;&gt;"")=VALUE(INDEX(IdClientes,MATCH(BLN2,Clientes,0))))</f>
        <v>#VALUE!</v>
      </c>
      <c r="BLO3" s="28" t="e" cm="1" vm="1">
        <f t="array" ref="BLO3">_xlfn._xlws.FILTER(Rutas,_xlfn._xlws.FILTER($B$2:$B$10000,$B$2:$B$10000&lt;&gt;"")=VALUE(INDEX(IdClientes,MATCH(BLO2,Clientes,0))))</f>
        <v>#VALUE!</v>
      </c>
      <c r="BLP3" s="28" t="e" cm="1" vm="1">
        <f t="array" ref="BLP3">_xlfn._xlws.FILTER(Rutas,_xlfn._xlws.FILTER($B$2:$B$10000,$B$2:$B$10000&lt;&gt;"")=VALUE(INDEX(IdClientes,MATCH(BLP2,Clientes,0))))</f>
        <v>#VALUE!</v>
      </c>
      <c r="BLQ3" s="28" t="e" cm="1" vm="1">
        <f t="array" ref="BLQ3">_xlfn._xlws.FILTER(Rutas,_xlfn._xlws.FILTER($B$2:$B$10000,$B$2:$B$10000&lt;&gt;"")=VALUE(INDEX(IdClientes,MATCH(BLQ2,Clientes,0))))</f>
        <v>#VALUE!</v>
      </c>
      <c r="BLR3" s="28" t="e" cm="1" vm="1">
        <f t="array" ref="BLR3">_xlfn._xlws.FILTER(Rutas,_xlfn._xlws.FILTER($B$2:$B$10000,$B$2:$B$10000&lt;&gt;"")=VALUE(INDEX(IdClientes,MATCH(BLR2,Clientes,0))))</f>
        <v>#VALUE!</v>
      </c>
      <c r="BLS3" s="28" t="e" cm="1" vm="1">
        <f t="array" ref="BLS3">_xlfn._xlws.FILTER(Rutas,_xlfn._xlws.FILTER($B$2:$B$10000,$B$2:$B$10000&lt;&gt;"")=VALUE(INDEX(IdClientes,MATCH(BLS2,Clientes,0))))</f>
        <v>#VALUE!</v>
      </c>
      <c r="BLT3" s="28" t="e" cm="1" vm="1">
        <f t="array" ref="BLT3">_xlfn._xlws.FILTER(Rutas,_xlfn._xlws.FILTER($B$2:$B$10000,$B$2:$B$10000&lt;&gt;"")=VALUE(INDEX(IdClientes,MATCH(BLT2,Clientes,0))))</f>
        <v>#VALUE!</v>
      </c>
      <c r="BLU3" s="28" t="e" cm="1" vm="1">
        <f t="array" ref="BLU3">_xlfn._xlws.FILTER(Rutas,_xlfn._xlws.FILTER($B$2:$B$10000,$B$2:$B$10000&lt;&gt;"")=VALUE(INDEX(IdClientes,MATCH(BLU2,Clientes,0))))</f>
        <v>#VALUE!</v>
      </c>
      <c r="BLV3" s="28" t="e" cm="1" vm="1">
        <f t="array" ref="BLV3">_xlfn._xlws.FILTER(Rutas,_xlfn._xlws.FILTER($B$2:$B$10000,$B$2:$B$10000&lt;&gt;"")=VALUE(INDEX(IdClientes,MATCH(BLV2,Clientes,0))))</f>
        <v>#VALUE!</v>
      </c>
      <c r="BLW3" s="28" t="e" cm="1" vm="1">
        <f t="array" ref="BLW3">_xlfn._xlws.FILTER(Rutas,_xlfn._xlws.FILTER($B$2:$B$10000,$B$2:$B$10000&lt;&gt;"")=VALUE(INDEX(IdClientes,MATCH(BLW2,Clientes,0))))</f>
        <v>#VALUE!</v>
      </c>
      <c r="BLX3" s="28" t="e" cm="1" vm="1">
        <f t="array" ref="BLX3">_xlfn._xlws.FILTER(Rutas,_xlfn._xlws.FILTER($B$2:$B$10000,$B$2:$B$10000&lt;&gt;"")=VALUE(INDEX(IdClientes,MATCH(BLX2,Clientes,0))))</f>
        <v>#VALUE!</v>
      </c>
      <c r="BLY3" s="28" t="e" cm="1" vm="1">
        <f t="array" ref="BLY3">_xlfn._xlws.FILTER(Rutas,_xlfn._xlws.FILTER($B$2:$B$10000,$B$2:$B$10000&lt;&gt;"")=VALUE(INDEX(IdClientes,MATCH(BLY2,Clientes,0))))</f>
        <v>#VALUE!</v>
      </c>
      <c r="BLZ3" s="28" t="e" cm="1" vm="1">
        <f t="array" ref="BLZ3">_xlfn._xlws.FILTER(Rutas,_xlfn._xlws.FILTER($B$2:$B$10000,$B$2:$B$10000&lt;&gt;"")=VALUE(INDEX(IdClientes,MATCH(BLZ2,Clientes,0))))</f>
        <v>#VALUE!</v>
      </c>
      <c r="BMA3" s="28" t="e" cm="1" vm="1">
        <f t="array" ref="BMA3">_xlfn._xlws.FILTER(Rutas,_xlfn._xlws.FILTER($B$2:$B$10000,$B$2:$B$10000&lt;&gt;"")=VALUE(INDEX(IdClientes,MATCH(BMA2,Clientes,0))))</f>
        <v>#VALUE!</v>
      </c>
      <c r="BMB3" s="28" t="e" cm="1" vm="1">
        <f t="array" ref="BMB3">_xlfn._xlws.FILTER(Rutas,_xlfn._xlws.FILTER($B$2:$B$10000,$B$2:$B$10000&lt;&gt;"")=VALUE(INDEX(IdClientes,MATCH(BMB2,Clientes,0))))</f>
        <v>#VALUE!</v>
      </c>
      <c r="BMC3" s="28" t="e" cm="1" vm="1">
        <f t="array" ref="BMC3">_xlfn._xlws.FILTER(Rutas,_xlfn._xlws.FILTER($B$2:$B$10000,$B$2:$B$10000&lt;&gt;"")=VALUE(INDEX(IdClientes,MATCH(BMC2,Clientes,0))))</f>
        <v>#VALUE!</v>
      </c>
      <c r="BMD3" s="28" t="e" cm="1" vm="1">
        <f t="array" ref="BMD3">_xlfn._xlws.FILTER(Rutas,_xlfn._xlws.FILTER($B$2:$B$10000,$B$2:$B$10000&lt;&gt;"")=VALUE(INDEX(IdClientes,MATCH(BMD2,Clientes,0))))</f>
        <v>#VALUE!</v>
      </c>
      <c r="BME3" s="28" t="e" cm="1" vm="1">
        <f t="array" ref="BME3">_xlfn._xlws.FILTER(Rutas,_xlfn._xlws.FILTER($B$2:$B$10000,$B$2:$B$10000&lt;&gt;"")=VALUE(INDEX(IdClientes,MATCH(BME2,Clientes,0))))</f>
        <v>#VALUE!</v>
      </c>
      <c r="BMF3" s="28" t="e" cm="1" vm="1">
        <f t="array" ref="BMF3">_xlfn._xlws.FILTER(Rutas,_xlfn._xlws.FILTER($B$2:$B$10000,$B$2:$B$10000&lt;&gt;"")=VALUE(INDEX(IdClientes,MATCH(BMF2,Clientes,0))))</f>
        <v>#VALUE!</v>
      </c>
      <c r="BMG3" s="28" t="e" cm="1" vm="1">
        <f t="array" ref="BMG3">_xlfn._xlws.FILTER(Rutas,_xlfn._xlws.FILTER($B$2:$B$10000,$B$2:$B$10000&lt;&gt;"")=VALUE(INDEX(IdClientes,MATCH(BMG2,Clientes,0))))</f>
        <v>#VALUE!</v>
      </c>
      <c r="BMH3" s="28" t="e" cm="1" vm="1">
        <f t="array" ref="BMH3">_xlfn._xlws.FILTER(Rutas,_xlfn._xlws.FILTER($B$2:$B$10000,$B$2:$B$10000&lt;&gt;"")=VALUE(INDEX(IdClientes,MATCH(BMH2,Clientes,0))))</f>
        <v>#VALUE!</v>
      </c>
      <c r="BMI3" s="28" t="e" cm="1" vm="1">
        <f t="array" ref="BMI3">_xlfn._xlws.FILTER(Rutas,_xlfn._xlws.FILTER($B$2:$B$10000,$B$2:$B$10000&lt;&gt;"")=VALUE(INDEX(IdClientes,MATCH(BMI2,Clientes,0))))</f>
        <v>#VALUE!</v>
      </c>
      <c r="BMJ3" s="28" t="e" cm="1" vm="1">
        <f t="array" ref="BMJ3">_xlfn._xlws.FILTER(Rutas,_xlfn._xlws.FILTER($B$2:$B$10000,$B$2:$B$10000&lt;&gt;"")=VALUE(INDEX(IdClientes,MATCH(BMJ2,Clientes,0))))</f>
        <v>#VALUE!</v>
      </c>
      <c r="BMK3" s="28" t="e" cm="1" vm="1">
        <f t="array" ref="BMK3">_xlfn._xlws.FILTER(Rutas,_xlfn._xlws.FILTER($B$2:$B$10000,$B$2:$B$10000&lt;&gt;"")=VALUE(INDEX(IdClientes,MATCH(BMK2,Clientes,0))))</f>
        <v>#VALUE!</v>
      </c>
      <c r="BML3" s="28" t="e" cm="1" vm="1">
        <f t="array" ref="BML3">_xlfn._xlws.FILTER(Rutas,_xlfn._xlws.FILTER($B$2:$B$10000,$B$2:$B$10000&lt;&gt;"")=VALUE(INDEX(IdClientes,MATCH(BML2,Clientes,0))))</f>
        <v>#VALUE!</v>
      </c>
      <c r="BMM3" s="28" t="e" cm="1" vm="1">
        <f t="array" ref="BMM3">_xlfn._xlws.FILTER(Rutas,_xlfn._xlws.FILTER($B$2:$B$10000,$B$2:$B$10000&lt;&gt;"")=VALUE(INDEX(IdClientes,MATCH(BMM2,Clientes,0))))</f>
        <v>#VALUE!</v>
      </c>
      <c r="BMN3" s="28" t="e" cm="1" vm="1">
        <f t="array" ref="BMN3">_xlfn._xlws.FILTER(Rutas,_xlfn._xlws.FILTER($B$2:$B$10000,$B$2:$B$10000&lt;&gt;"")=VALUE(INDEX(IdClientes,MATCH(BMN2,Clientes,0))))</f>
        <v>#VALUE!</v>
      </c>
      <c r="BMO3" s="28" t="e" cm="1" vm="1">
        <f t="array" ref="BMO3">_xlfn._xlws.FILTER(Rutas,_xlfn._xlws.FILTER($B$2:$B$10000,$B$2:$B$10000&lt;&gt;"")=VALUE(INDEX(IdClientes,MATCH(BMO2,Clientes,0))))</f>
        <v>#VALUE!</v>
      </c>
      <c r="BMP3" s="28" t="e" cm="1" vm="1">
        <f t="array" ref="BMP3">_xlfn._xlws.FILTER(Rutas,_xlfn._xlws.FILTER($B$2:$B$10000,$B$2:$B$10000&lt;&gt;"")=VALUE(INDEX(IdClientes,MATCH(BMP2,Clientes,0))))</f>
        <v>#VALUE!</v>
      </c>
      <c r="BMQ3" s="28" t="e" cm="1" vm="1">
        <f t="array" ref="BMQ3">_xlfn._xlws.FILTER(Rutas,_xlfn._xlws.FILTER($B$2:$B$10000,$B$2:$B$10000&lt;&gt;"")=VALUE(INDEX(IdClientes,MATCH(BMQ2,Clientes,0))))</f>
        <v>#VALUE!</v>
      </c>
      <c r="BMR3" s="28" t="e" cm="1" vm="1">
        <f t="array" ref="BMR3">_xlfn._xlws.FILTER(Rutas,_xlfn._xlws.FILTER($B$2:$B$10000,$B$2:$B$10000&lt;&gt;"")=VALUE(INDEX(IdClientes,MATCH(BMR2,Clientes,0))))</f>
        <v>#VALUE!</v>
      </c>
      <c r="BMS3" s="28" t="e" cm="1" vm="1">
        <f t="array" ref="BMS3">_xlfn._xlws.FILTER(Rutas,_xlfn._xlws.FILTER($B$2:$B$10000,$B$2:$B$10000&lt;&gt;"")=VALUE(INDEX(IdClientes,MATCH(BMS2,Clientes,0))))</f>
        <v>#VALUE!</v>
      </c>
      <c r="BMT3" s="28" t="e" cm="1" vm="1">
        <f t="array" ref="BMT3">_xlfn._xlws.FILTER(Rutas,_xlfn._xlws.FILTER($B$2:$B$10000,$B$2:$B$10000&lt;&gt;"")=VALUE(INDEX(IdClientes,MATCH(BMT2,Clientes,0))))</f>
        <v>#VALUE!</v>
      </c>
      <c r="BMU3" s="28" t="e" cm="1" vm="1">
        <f t="array" ref="BMU3">_xlfn._xlws.FILTER(Rutas,_xlfn._xlws.FILTER($B$2:$B$10000,$B$2:$B$10000&lt;&gt;"")=VALUE(INDEX(IdClientes,MATCH(BMU2,Clientes,0))))</f>
        <v>#VALUE!</v>
      </c>
      <c r="BMV3" s="28" t="e" cm="1" vm="1">
        <f t="array" ref="BMV3">_xlfn._xlws.FILTER(Rutas,_xlfn._xlws.FILTER($B$2:$B$10000,$B$2:$B$10000&lt;&gt;"")=VALUE(INDEX(IdClientes,MATCH(BMV2,Clientes,0))))</f>
        <v>#VALUE!</v>
      </c>
      <c r="BMW3" s="28" t="e" cm="1" vm="1">
        <f t="array" ref="BMW3">_xlfn._xlws.FILTER(Rutas,_xlfn._xlws.FILTER($B$2:$B$10000,$B$2:$B$10000&lt;&gt;"")=VALUE(INDEX(IdClientes,MATCH(BMW2,Clientes,0))))</f>
        <v>#VALUE!</v>
      </c>
      <c r="BMX3" s="28" t="e" cm="1" vm="1">
        <f t="array" ref="BMX3">_xlfn._xlws.FILTER(Rutas,_xlfn._xlws.FILTER($B$2:$B$10000,$B$2:$B$10000&lt;&gt;"")=VALUE(INDEX(IdClientes,MATCH(BMX2,Clientes,0))))</f>
        <v>#VALUE!</v>
      </c>
      <c r="BMY3" s="28" t="e" cm="1" vm="1">
        <f t="array" ref="BMY3">_xlfn._xlws.FILTER(Rutas,_xlfn._xlws.FILTER($B$2:$B$10000,$B$2:$B$10000&lt;&gt;"")=VALUE(INDEX(IdClientes,MATCH(BMY2,Clientes,0))))</f>
        <v>#VALUE!</v>
      </c>
      <c r="BMZ3" s="28" t="e" cm="1" vm="1">
        <f t="array" ref="BMZ3">_xlfn._xlws.FILTER(Rutas,_xlfn._xlws.FILTER($B$2:$B$10000,$B$2:$B$10000&lt;&gt;"")=VALUE(INDEX(IdClientes,MATCH(BMZ2,Clientes,0))))</f>
        <v>#VALUE!</v>
      </c>
      <c r="BNA3" s="28" t="e" cm="1" vm="1">
        <f t="array" ref="BNA3">_xlfn._xlws.FILTER(Rutas,_xlfn._xlws.FILTER($B$2:$B$10000,$B$2:$B$10000&lt;&gt;"")=VALUE(INDEX(IdClientes,MATCH(BNA2,Clientes,0))))</f>
        <v>#VALUE!</v>
      </c>
      <c r="BNB3" s="28" t="e" cm="1" vm="1">
        <f t="array" ref="BNB3">_xlfn._xlws.FILTER(Rutas,_xlfn._xlws.FILTER($B$2:$B$10000,$B$2:$B$10000&lt;&gt;"")=VALUE(INDEX(IdClientes,MATCH(BNB2,Clientes,0))))</f>
        <v>#VALUE!</v>
      </c>
      <c r="BNC3" s="28" t="e" cm="1" vm="1">
        <f t="array" ref="BNC3">_xlfn._xlws.FILTER(Rutas,_xlfn._xlws.FILTER($B$2:$B$10000,$B$2:$B$10000&lt;&gt;"")=VALUE(INDEX(IdClientes,MATCH(BNC2,Clientes,0))))</f>
        <v>#VALUE!</v>
      </c>
      <c r="BND3" s="28" t="e" cm="1" vm="1">
        <f t="array" ref="BND3">_xlfn._xlws.FILTER(Rutas,_xlfn._xlws.FILTER($B$2:$B$10000,$B$2:$B$10000&lt;&gt;"")=VALUE(INDEX(IdClientes,MATCH(BND2,Clientes,0))))</f>
        <v>#VALUE!</v>
      </c>
      <c r="BNE3" s="28" t="e" cm="1" vm="1">
        <f t="array" ref="BNE3">_xlfn._xlws.FILTER(Rutas,_xlfn._xlws.FILTER($B$2:$B$10000,$B$2:$B$10000&lt;&gt;"")=VALUE(INDEX(IdClientes,MATCH(BNE2,Clientes,0))))</f>
        <v>#VALUE!</v>
      </c>
      <c r="BNF3" s="28" t="e" cm="1" vm="1">
        <f t="array" ref="BNF3">_xlfn._xlws.FILTER(Rutas,_xlfn._xlws.FILTER($B$2:$B$10000,$B$2:$B$10000&lt;&gt;"")=VALUE(INDEX(IdClientes,MATCH(BNF2,Clientes,0))))</f>
        <v>#VALUE!</v>
      </c>
      <c r="BNG3" s="28" t="e" cm="1" vm="1">
        <f t="array" ref="BNG3">_xlfn._xlws.FILTER(Rutas,_xlfn._xlws.FILTER($B$2:$B$10000,$B$2:$B$10000&lt;&gt;"")=VALUE(INDEX(IdClientes,MATCH(BNG2,Clientes,0))))</f>
        <v>#VALUE!</v>
      </c>
      <c r="BNH3" s="28" t="e" cm="1" vm="1">
        <f t="array" ref="BNH3">_xlfn._xlws.FILTER(Rutas,_xlfn._xlws.FILTER($B$2:$B$10000,$B$2:$B$10000&lt;&gt;"")=VALUE(INDEX(IdClientes,MATCH(BNH2,Clientes,0))))</f>
        <v>#VALUE!</v>
      </c>
      <c r="BNI3" s="28" t="e" cm="1" vm="1">
        <f t="array" ref="BNI3">_xlfn._xlws.FILTER(Rutas,_xlfn._xlws.FILTER($B$2:$B$10000,$B$2:$B$10000&lt;&gt;"")=VALUE(INDEX(IdClientes,MATCH(BNI2,Clientes,0))))</f>
        <v>#VALUE!</v>
      </c>
      <c r="BNJ3" s="28" t="e" cm="1" vm="1">
        <f t="array" ref="BNJ3">_xlfn._xlws.FILTER(Rutas,_xlfn._xlws.FILTER($B$2:$B$10000,$B$2:$B$10000&lt;&gt;"")=VALUE(INDEX(IdClientes,MATCH(BNJ2,Clientes,0))))</f>
        <v>#VALUE!</v>
      </c>
      <c r="BNK3" s="28" t="e" cm="1" vm="1">
        <f t="array" ref="BNK3">_xlfn._xlws.FILTER(Rutas,_xlfn._xlws.FILTER($B$2:$B$10000,$B$2:$B$10000&lt;&gt;"")=VALUE(INDEX(IdClientes,MATCH(BNK2,Clientes,0))))</f>
        <v>#VALUE!</v>
      </c>
      <c r="BNL3" s="28" t="e" cm="1" vm="1">
        <f t="array" ref="BNL3">_xlfn._xlws.FILTER(Rutas,_xlfn._xlws.FILTER($B$2:$B$10000,$B$2:$B$10000&lt;&gt;"")=VALUE(INDEX(IdClientes,MATCH(BNL2,Clientes,0))))</f>
        <v>#VALUE!</v>
      </c>
      <c r="BNM3" s="28" t="e" cm="1" vm="1">
        <f t="array" ref="BNM3">_xlfn._xlws.FILTER(Rutas,_xlfn._xlws.FILTER($B$2:$B$10000,$B$2:$B$10000&lt;&gt;"")=VALUE(INDEX(IdClientes,MATCH(BNM2,Clientes,0))))</f>
        <v>#VALUE!</v>
      </c>
      <c r="BNN3" s="28" t="e" cm="1" vm="1">
        <f t="array" ref="BNN3">_xlfn._xlws.FILTER(Rutas,_xlfn._xlws.FILTER($B$2:$B$10000,$B$2:$B$10000&lt;&gt;"")=VALUE(INDEX(IdClientes,MATCH(BNN2,Clientes,0))))</f>
        <v>#VALUE!</v>
      </c>
      <c r="BNO3" s="28" t="e" cm="1" vm="1">
        <f t="array" ref="BNO3">_xlfn._xlws.FILTER(Rutas,_xlfn._xlws.FILTER($B$2:$B$10000,$B$2:$B$10000&lt;&gt;"")=VALUE(INDEX(IdClientes,MATCH(BNO2,Clientes,0))))</f>
        <v>#VALUE!</v>
      </c>
      <c r="BNP3" s="28" t="e" cm="1" vm="1">
        <f t="array" ref="BNP3">_xlfn._xlws.FILTER(Rutas,_xlfn._xlws.FILTER($B$2:$B$10000,$B$2:$B$10000&lt;&gt;"")=VALUE(INDEX(IdClientes,MATCH(BNP2,Clientes,0))))</f>
        <v>#VALUE!</v>
      </c>
      <c r="BNQ3" s="28" t="e" cm="1" vm="1">
        <f t="array" ref="BNQ3">_xlfn._xlws.FILTER(Rutas,_xlfn._xlws.FILTER($B$2:$B$10000,$B$2:$B$10000&lt;&gt;"")=VALUE(INDEX(IdClientes,MATCH(BNQ2,Clientes,0))))</f>
        <v>#VALUE!</v>
      </c>
      <c r="BNR3" s="28" t="e" cm="1" vm="1">
        <f t="array" ref="BNR3">_xlfn._xlws.FILTER(Rutas,_xlfn._xlws.FILTER($B$2:$B$10000,$B$2:$B$10000&lt;&gt;"")=VALUE(INDEX(IdClientes,MATCH(BNR2,Clientes,0))))</f>
        <v>#VALUE!</v>
      </c>
      <c r="BNS3" s="28" t="e" cm="1" vm="1">
        <f t="array" ref="BNS3">_xlfn._xlws.FILTER(Rutas,_xlfn._xlws.FILTER($B$2:$B$10000,$B$2:$B$10000&lt;&gt;"")=VALUE(INDEX(IdClientes,MATCH(BNS2,Clientes,0))))</f>
        <v>#VALUE!</v>
      </c>
      <c r="BNT3" s="28" t="e" cm="1" vm="1">
        <f t="array" ref="BNT3">_xlfn._xlws.FILTER(Rutas,_xlfn._xlws.FILTER($B$2:$B$10000,$B$2:$B$10000&lt;&gt;"")=VALUE(INDEX(IdClientes,MATCH(BNT2,Clientes,0))))</f>
        <v>#VALUE!</v>
      </c>
      <c r="BNU3" s="28" t="e" cm="1" vm="1">
        <f t="array" ref="BNU3">_xlfn._xlws.FILTER(Rutas,_xlfn._xlws.FILTER($B$2:$B$10000,$B$2:$B$10000&lt;&gt;"")=VALUE(INDEX(IdClientes,MATCH(BNU2,Clientes,0))))</f>
        <v>#VALUE!</v>
      </c>
      <c r="BNV3" s="28" t="e" cm="1" vm="1">
        <f t="array" ref="BNV3">_xlfn._xlws.FILTER(Rutas,_xlfn._xlws.FILTER($B$2:$B$10000,$B$2:$B$10000&lt;&gt;"")=VALUE(INDEX(IdClientes,MATCH(BNV2,Clientes,0))))</f>
        <v>#VALUE!</v>
      </c>
      <c r="BNW3" s="28" t="e" cm="1" vm="1">
        <f t="array" ref="BNW3">_xlfn._xlws.FILTER(Rutas,_xlfn._xlws.FILTER($B$2:$B$10000,$B$2:$B$10000&lt;&gt;"")=VALUE(INDEX(IdClientes,MATCH(BNW2,Clientes,0))))</f>
        <v>#VALUE!</v>
      </c>
      <c r="BNX3" s="28" t="e" cm="1" vm="1">
        <f t="array" ref="BNX3">_xlfn._xlws.FILTER(Rutas,_xlfn._xlws.FILTER($B$2:$B$10000,$B$2:$B$10000&lt;&gt;"")=VALUE(INDEX(IdClientes,MATCH(BNX2,Clientes,0))))</f>
        <v>#VALUE!</v>
      </c>
      <c r="BNY3" s="28" t="e" cm="1" vm="1">
        <f t="array" ref="BNY3">_xlfn._xlws.FILTER(Rutas,_xlfn._xlws.FILTER($B$2:$B$10000,$B$2:$B$10000&lt;&gt;"")=VALUE(INDEX(IdClientes,MATCH(BNY2,Clientes,0))))</f>
        <v>#VALUE!</v>
      </c>
      <c r="BNZ3" s="28" t="e" cm="1" vm="1">
        <f t="array" ref="BNZ3">_xlfn._xlws.FILTER(Rutas,_xlfn._xlws.FILTER($B$2:$B$10000,$B$2:$B$10000&lt;&gt;"")=VALUE(INDEX(IdClientes,MATCH(BNZ2,Clientes,0))))</f>
        <v>#VALUE!</v>
      </c>
      <c r="BOA3" s="28" t="e" cm="1" vm="1">
        <f t="array" ref="BOA3">_xlfn._xlws.FILTER(Rutas,_xlfn._xlws.FILTER($B$2:$B$10000,$B$2:$B$10000&lt;&gt;"")=VALUE(INDEX(IdClientes,MATCH(BOA2,Clientes,0))))</f>
        <v>#VALUE!</v>
      </c>
      <c r="BOB3" s="28" t="e" cm="1" vm="1">
        <f t="array" ref="BOB3">_xlfn._xlws.FILTER(Rutas,_xlfn._xlws.FILTER($B$2:$B$10000,$B$2:$B$10000&lt;&gt;"")=VALUE(INDEX(IdClientes,MATCH(BOB2,Clientes,0))))</f>
        <v>#VALUE!</v>
      </c>
      <c r="BOC3" s="28" t="e" cm="1" vm="1">
        <f t="array" ref="BOC3">_xlfn._xlws.FILTER(Rutas,_xlfn._xlws.FILTER($B$2:$B$10000,$B$2:$B$10000&lt;&gt;"")=VALUE(INDEX(IdClientes,MATCH(BOC2,Clientes,0))))</f>
        <v>#VALUE!</v>
      </c>
      <c r="BOD3" s="28" t="e" cm="1" vm="1">
        <f t="array" ref="BOD3">_xlfn._xlws.FILTER(Rutas,_xlfn._xlws.FILTER($B$2:$B$10000,$B$2:$B$10000&lt;&gt;"")=VALUE(INDEX(IdClientes,MATCH(BOD2,Clientes,0))))</f>
        <v>#VALUE!</v>
      </c>
      <c r="BOE3" s="28" t="e" cm="1" vm="1">
        <f t="array" ref="BOE3">_xlfn._xlws.FILTER(Rutas,_xlfn._xlws.FILTER($B$2:$B$10000,$B$2:$B$10000&lt;&gt;"")=VALUE(INDEX(IdClientes,MATCH(BOE2,Clientes,0))))</f>
        <v>#VALUE!</v>
      </c>
      <c r="BOF3" s="28" t="e" cm="1" vm="1">
        <f t="array" ref="BOF3">_xlfn._xlws.FILTER(Rutas,_xlfn._xlws.FILTER($B$2:$B$10000,$B$2:$B$10000&lt;&gt;"")=VALUE(INDEX(IdClientes,MATCH(BOF2,Clientes,0))))</f>
        <v>#VALUE!</v>
      </c>
      <c r="BOG3" s="28" t="e" cm="1" vm="1">
        <f t="array" ref="BOG3">_xlfn._xlws.FILTER(Rutas,_xlfn._xlws.FILTER($B$2:$B$10000,$B$2:$B$10000&lt;&gt;"")=VALUE(INDEX(IdClientes,MATCH(BOG2,Clientes,0))))</f>
        <v>#VALUE!</v>
      </c>
      <c r="BOH3" s="28" t="e" cm="1" vm="1">
        <f t="array" ref="BOH3">_xlfn._xlws.FILTER(Rutas,_xlfn._xlws.FILTER($B$2:$B$10000,$B$2:$B$10000&lt;&gt;"")=VALUE(INDEX(IdClientes,MATCH(BOH2,Clientes,0))))</f>
        <v>#VALUE!</v>
      </c>
      <c r="BOI3" s="28" t="e" cm="1" vm="1">
        <f t="array" ref="BOI3">_xlfn._xlws.FILTER(Rutas,_xlfn._xlws.FILTER($B$2:$B$10000,$B$2:$B$10000&lt;&gt;"")=VALUE(INDEX(IdClientes,MATCH(BOI2,Clientes,0))))</f>
        <v>#VALUE!</v>
      </c>
      <c r="BOJ3" s="28" t="e" cm="1" vm="1">
        <f t="array" ref="BOJ3">_xlfn._xlws.FILTER(Rutas,_xlfn._xlws.FILTER($B$2:$B$10000,$B$2:$B$10000&lt;&gt;"")=VALUE(INDEX(IdClientes,MATCH(BOJ2,Clientes,0))))</f>
        <v>#VALUE!</v>
      </c>
      <c r="BOK3" s="28" t="e" cm="1" vm="1">
        <f t="array" ref="BOK3">_xlfn._xlws.FILTER(Rutas,_xlfn._xlws.FILTER($B$2:$B$10000,$B$2:$B$10000&lt;&gt;"")=VALUE(INDEX(IdClientes,MATCH(BOK2,Clientes,0))))</f>
        <v>#VALUE!</v>
      </c>
      <c r="BOL3" s="28" t="e" cm="1" vm="1">
        <f t="array" ref="BOL3">_xlfn._xlws.FILTER(Rutas,_xlfn._xlws.FILTER($B$2:$B$10000,$B$2:$B$10000&lt;&gt;"")=VALUE(INDEX(IdClientes,MATCH(BOL2,Clientes,0))))</f>
        <v>#VALUE!</v>
      </c>
      <c r="BOM3" s="28" t="e" cm="1" vm="1">
        <f t="array" ref="BOM3">_xlfn._xlws.FILTER(Rutas,_xlfn._xlws.FILTER($B$2:$B$10000,$B$2:$B$10000&lt;&gt;"")=VALUE(INDEX(IdClientes,MATCH(BOM2,Clientes,0))))</f>
        <v>#VALUE!</v>
      </c>
      <c r="BON3" s="28" t="e" cm="1" vm="1">
        <f t="array" ref="BON3">_xlfn._xlws.FILTER(Rutas,_xlfn._xlws.FILTER($B$2:$B$10000,$B$2:$B$10000&lt;&gt;"")=VALUE(INDEX(IdClientes,MATCH(BON2,Clientes,0))))</f>
        <v>#VALUE!</v>
      </c>
      <c r="BOO3" s="28" t="e" cm="1" vm="1">
        <f t="array" ref="BOO3">_xlfn._xlws.FILTER(Rutas,_xlfn._xlws.FILTER($B$2:$B$10000,$B$2:$B$10000&lt;&gt;"")=VALUE(INDEX(IdClientes,MATCH(BOO2,Clientes,0))))</f>
        <v>#VALUE!</v>
      </c>
      <c r="BOP3" s="28" t="e" cm="1" vm="1">
        <f t="array" ref="BOP3">_xlfn._xlws.FILTER(Rutas,_xlfn._xlws.FILTER($B$2:$B$10000,$B$2:$B$10000&lt;&gt;"")=VALUE(INDEX(IdClientes,MATCH(BOP2,Clientes,0))))</f>
        <v>#VALUE!</v>
      </c>
      <c r="BOQ3" s="28" t="e" cm="1" vm="1">
        <f t="array" ref="BOQ3">_xlfn._xlws.FILTER(Rutas,_xlfn._xlws.FILTER($B$2:$B$10000,$B$2:$B$10000&lt;&gt;"")=VALUE(INDEX(IdClientes,MATCH(BOQ2,Clientes,0))))</f>
        <v>#VALUE!</v>
      </c>
      <c r="BOR3" s="28" t="e" cm="1" vm="1">
        <f t="array" ref="BOR3">_xlfn._xlws.FILTER(Rutas,_xlfn._xlws.FILTER($B$2:$B$10000,$B$2:$B$10000&lt;&gt;"")=VALUE(INDEX(IdClientes,MATCH(BOR2,Clientes,0))))</f>
        <v>#VALUE!</v>
      </c>
      <c r="BOS3" s="28" t="e" cm="1" vm="1">
        <f t="array" ref="BOS3">_xlfn._xlws.FILTER(Rutas,_xlfn._xlws.FILTER($B$2:$B$10000,$B$2:$B$10000&lt;&gt;"")=VALUE(INDEX(IdClientes,MATCH(BOS2,Clientes,0))))</f>
        <v>#VALUE!</v>
      </c>
      <c r="BOT3" s="28" t="e" cm="1" vm="1">
        <f t="array" ref="BOT3">_xlfn._xlws.FILTER(Rutas,_xlfn._xlws.FILTER($B$2:$B$10000,$B$2:$B$10000&lt;&gt;"")=VALUE(INDEX(IdClientes,MATCH(BOT2,Clientes,0))))</f>
        <v>#VALUE!</v>
      </c>
      <c r="BOU3" s="28" t="e" cm="1" vm="1">
        <f t="array" ref="BOU3">_xlfn._xlws.FILTER(Rutas,_xlfn._xlws.FILTER($B$2:$B$10000,$B$2:$B$10000&lt;&gt;"")=VALUE(INDEX(IdClientes,MATCH(BOU2,Clientes,0))))</f>
        <v>#VALUE!</v>
      </c>
      <c r="BOV3" s="28" t="e" cm="1" vm="1">
        <f t="array" ref="BOV3">_xlfn._xlws.FILTER(Rutas,_xlfn._xlws.FILTER($B$2:$B$10000,$B$2:$B$10000&lt;&gt;"")=VALUE(INDEX(IdClientes,MATCH(BOV2,Clientes,0))))</f>
        <v>#VALUE!</v>
      </c>
      <c r="BOW3" s="28" t="e" cm="1" vm="1">
        <f t="array" ref="BOW3">_xlfn._xlws.FILTER(Rutas,_xlfn._xlws.FILTER($B$2:$B$10000,$B$2:$B$10000&lt;&gt;"")=VALUE(INDEX(IdClientes,MATCH(BOW2,Clientes,0))))</f>
        <v>#VALUE!</v>
      </c>
      <c r="BOX3" s="28" t="e" cm="1" vm="1">
        <f t="array" ref="BOX3">_xlfn._xlws.FILTER(Rutas,_xlfn._xlws.FILTER($B$2:$B$10000,$B$2:$B$10000&lt;&gt;"")=VALUE(INDEX(IdClientes,MATCH(BOX2,Clientes,0))))</f>
        <v>#VALUE!</v>
      </c>
      <c r="BOY3" s="28" t="e" cm="1" vm="1">
        <f t="array" ref="BOY3">_xlfn._xlws.FILTER(Rutas,_xlfn._xlws.FILTER($B$2:$B$10000,$B$2:$B$10000&lt;&gt;"")=VALUE(INDEX(IdClientes,MATCH(BOY2,Clientes,0))))</f>
        <v>#VALUE!</v>
      </c>
      <c r="BOZ3" s="28" t="e" cm="1" vm="1">
        <f t="array" ref="BOZ3">_xlfn._xlws.FILTER(Rutas,_xlfn._xlws.FILTER($B$2:$B$10000,$B$2:$B$10000&lt;&gt;"")=VALUE(INDEX(IdClientes,MATCH(BOZ2,Clientes,0))))</f>
        <v>#VALUE!</v>
      </c>
      <c r="BPA3" s="28" t="e" cm="1" vm="1">
        <f t="array" ref="BPA3">_xlfn._xlws.FILTER(Rutas,_xlfn._xlws.FILTER($B$2:$B$10000,$B$2:$B$10000&lt;&gt;"")=VALUE(INDEX(IdClientes,MATCH(BPA2,Clientes,0))))</f>
        <v>#VALUE!</v>
      </c>
      <c r="BPB3" s="28" t="e" cm="1" vm="1">
        <f t="array" ref="BPB3">_xlfn._xlws.FILTER(Rutas,_xlfn._xlws.FILTER($B$2:$B$10000,$B$2:$B$10000&lt;&gt;"")=VALUE(INDEX(IdClientes,MATCH(BPB2,Clientes,0))))</f>
        <v>#VALUE!</v>
      </c>
      <c r="BPC3" s="28" t="e" cm="1" vm="1">
        <f t="array" ref="BPC3">_xlfn._xlws.FILTER(Rutas,_xlfn._xlws.FILTER($B$2:$B$10000,$B$2:$B$10000&lt;&gt;"")=VALUE(INDEX(IdClientes,MATCH(BPC2,Clientes,0))))</f>
        <v>#VALUE!</v>
      </c>
      <c r="BPD3" s="28" t="e" cm="1" vm="1">
        <f t="array" ref="BPD3">_xlfn._xlws.FILTER(Rutas,_xlfn._xlws.FILTER($B$2:$B$10000,$B$2:$B$10000&lt;&gt;"")=VALUE(INDEX(IdClientes,MATCH(BPD2,Clientes,0))))</f>
        <v>#VALUE!</v>
      </c>
      <c r="BPE3" s="28" t="e" cm="1" vm="1">
        <f t="array" ref="BPE3">_xlfn._xlws.FILTER(Rutas,_xlfn._xlws.FILTER($B$2:$B$10000,$B$2:$B$10000&lt;&gt;"")=VALUE(INDEX(IdClientes,MATCH(BPE2,Clientes,0))))</f>
        <v>#VALUE!</v>
      </c>
      <c r="BPF3" s="28" t="e" cm="1" vm="1">
        <f t="array" ref="BPF3">_xlfn._xlws.FILTER(Rutas,_xlfn._xlws.FILTER($B$2:$B$10000,$B$2:$B$10000&lt;&gt;"")=VALUE(INDEX(IdClientes,MATCH(BPF2,Clientes,0))))</f>
        <v>#VALUE!</v>
      </c>
      <c r="BPG3" s="28" t="e" cm="1" vm="1">
        <f t="array" ref="BPG3">_xlfn._xlws.FILTER(Rutas,_xlfn._xlws.FILTER($B$2:$B$10000,$B$2:$B$10000&lt;&gt;"")=VALUE(INDEX(IdClientes,MATCH(BPG2,Clientes,0))))</f>
        <v>#VALUE!</v>
      </c>
      <c r="BPH3" s="28" t="e" cm="1" vm="1">
        <f t="array" ref="BPH3">_xlfn._xlws.FILTER(Rutas,_xlfn._xlws.FILTER($B$2:$B$10000,$B$2:$B$10000&lt;&gt;"")=VALUE(INDEX(IdClientes,MATCH(BPH2,Clientes,0))))</f>
        <v>#VALUE!</v>
      </c>
      <c r="BPI3" s="28" t="e" cm="1" vm="1">
        <f t="array" ref="BPI3">_xlfn._xlws.FILTER(Rutas,_xlfn._xlws.FILTER($B$2:$B$10000,$B$2:$B$10000&lt;&gt;"")=VALUE(INDEX(IdClientes,MATCH(BPI2,Clientes,0))))</f>
        <v>#VALUE!</v>
      </c>
      <c r="BPJ3" s="28" t="e" cm="1" vm="1">
        <f t="array" ref="BPJ3">_xlfn._xlws.FILTER(Rutas,_xlfn._xlws.FILTER($B$2:$B$10000,$B$2:$B$10000&lt;&gt;"")=VALUE(INDEX(IdClientes,MATCH(BPJ2,Clientes,0))))</f>
        <v>#VALUE!</v>
      </c>
      <c r="BPK3" s="28" t="e" cm="1" vm="1">
        <f t="array" ref="BPK3">_xlfn._xlws.FILTER(Rutas,_xlfn._xlws.FILTER($B$2:$B$10000,$B$2:$B$10000&lt;&gt;"")=VALUE(INDEX(IdClientes,MATCH(BPK2,Clientes,0))))</f>
        <v>#VALUE!</v>
      </c>
      <c r="BPL3" s="28" t="e" cm="1" vm="1">
        <f t="array" ref="BPL3">_xlfn._xlws.FILTER(Rutas,_xlfn._xlws.FILTER($B$2:$B$10000,$B$2:$B$10000&lt;&gt;"")=VALUE(INDEX(IdClientes,MATCH(BPL2,Clientes,0))))</f>
        <v>#VALUE!</v>
      </c>
      <c r="BPM3" s="28" t="e" cm="1" vm="1">
        <f t="array" ref="BPM3">_xlfn._xlws.FILTER(Rutas,_xlfn._xlws.FILTER($B$2:$B$10000,$B$2:$B$10000&lt;&gt;"")=VALUE(INDEX(IdClientes,MATCH(BPM2,Clientes,0))))</f>
        <v>#VALUE!</v>
      </c>
      <c r="BPN3" s="28" t="e" cm="1" vm="1">
        <f t="array" ref="BPN3">_xlfn._xlws.FILTER(Rutas,_xlfn._xlws.FILTER($B$2:$B$10000,$B$2:$B$10000&lt;&gt;"")=VALUE(INDEX(IdClientes,MATCH(BPN2,Clientes,0))))</f>
        <v>#VALUE!</v>
      </c>
      <c r="BPO3" s="28" t="e" cm="1" vm="1">
        <f t="array" ref="BPO3">_xlfn._xlws.FILTER(Rutas,_xlfn._xlws.FILTER($B$2:$B$10000,$B$2:$B$10000&lt;&gt;"")=VALUE(INDEX(IdClientes,MATCH(BPO2,Clientes,0))))</f>
        <v>#VALUE!</v>
      </c>
      <c r="BPP3" s="28" t="e" cm="1" vm="1">
        <f t="array" ref="BPP3">_xlfn._xlws.FILTER(Rutas,_xlfn._xlws.FILTER($B$2:$B$10000,$B$2:$B$10000&lt;&gt;"")=VALUE(INDEX(IdClientes,MATCH(BPP2,Clientes,0))))</f>
        <v>#VALUE!</v>
      </c>
      <c r="BPQ3" s="28" t="e" cm="1" vm="1">
        <f t="array" ref="BPQ3">_xlfn._xlws.FILTER(Rutas,_xlfn._xlws.FILTER($B$2:$B$10000,$B$2:$B$10000&lt;&gt;"")=VALUE(INDEX(IdClientes,MATCH(BPQ2,Clientes,0))))</f>
        <v>#VALUE!</v>
      </c>
      <c r="BPR3" s="28" t="e" cm="1" vm="1">
        <f t="array" ref="BPR3">_xlfn._xlws.FILTER(Rutas,_xlfn._xlws.FILTER($B$2:$B$10000,$B$2:$B$10000&lt;&gt;"")=VALUE(INDEX(IdClientes,MATCH(BPR2,Clientes,0))))</f>
        <v>#VALUE!</v>
      </c>
      <c r="BPS3" s="28" t="e" cm="1" vm="1">
        <f t="array" ref="BPS3">_xlfn._xlws.FILTER(Rutas,_xlfn._xlws.FILTER($B$2:$B$10000,$B$2:$B$10000&lt;&gt;"")=VALUE(INDEX(IdClientes,MATCH(BPS2,Clientes,0))))</f>
        <v>#VALUE!</v>
      </c>
      <c r="BPT3" s="28" t="e" cm="1" vm="1">
        <f t="array" ref="BPT3">_xlfn._xlws.FILTER(Rutas,_xlfn._xlws.FILTER($B$2:$B$10000,$B$2:$B$10000&lt;&gt;"")=VALUE(INDEX(IdClientes,MATCH(BPT2,Clientes,0))))</f>
        <v>#VALUE!</v>
      </c>
      <c r="BPU3" s="28" t="e" cm="1" vm="1">
        <f t="array" ref="BPU3">_xlfn._xlws.FILTER(Rutas,_xlfn._xlws.FILTER($B$2:$B$10000,$B$2:$B$10000&lt;&gt;"")=VALUE(INDEX(IdClientes,MATCH(BPU2,Clientes,0))))</f>
        <v>#VALUE!</v>
      </c>
      <c r="BPV3" s="28" t="e" cm="1" vm="1">
        <f t="array" ref="BPV3">_xlfn._xlws.FILTER(Rutas,_xlfn._xlws.FILTER($B$2:$B$10000,$B$2:$B$10000&lt;&gt;"")=VALUE(INDEX(IdClientes,MATCH(BPV2,Clientes,0))))</f>
        <v>#VALUE!</v>
      </c>
      <c r="BPW3" s="28" t="e" cm="1" vm="1">
        <f t="array" ref="BPW3">_xlfn._xlws.FILTER(Rutas,_xlfn._xlws.FILTER($B$2:$B$10000,$B$2:$B$10000&lt;&gt;"")=VALUE(INDEX(IdClientes,MATCH(BPW2,Clientes,0))))</f>
        <v>#VALUE!</v>
      </c>
      <c r="BPX3" s="28" t="e" cm="1" vm="1">
        <f t="array" ref="BPX3">_xlfn._xlws.FILTER(Rutas,_xlfn._xlws.FILTER($B$2:$B$10000,$B$2:$B$10000&lt;&gt;"")=VALUE(INDEX(IdClientes,MATCH(BPX2,Clientes,0))))</f>
        <v>#VALUE!</v>
      </c>
      <c r="BPY3" s="28" t="e" cm="1" vm="1">
        <f t="array" ref="BPY3">_xlfn._xlws.FILTER(Rutas,_xlfn._xlws.FILTER($B$2:$B$10000,$B$2:$B$10000&lt;&gt;"")=VALUE(INDEX(IdClientes,MATCH(BPY2,Clientes,0))))</f>
        <v>#VALUE!</v>
      </c>
      <c r="BPZ3" s="28" t="e" cm="1" vm="1">
        <f t="array" ref="BPZ3">_xlfn._xlws.FILTER(Rutas,_xlfn._xlws.FILTER($B$2:$B$10000,$B$2:$B$10000&lt;&gt;"")=VALUE(INDEX(IdClientes,MATCH(BPZ2,Clientes,0))))</f>
        <v>#VALUE!</v>
      </c>
      <c r="BQA3" s="28" t="e" cm="1" vm="1">
        <f t="array" ref="BQA3">_xlfn._xlws.FILTER(Rutas,_xlfn._xlws.FILTER($B$2:$B$10000,$B$2:$B$10000&lt;&gt;"")=VALUE(INDEX(IdClientes,MATCH(BQA2,Clientes,0))))</f>
        <v>#VALUE!</v>
      </c>
      <c r="BQB3" s="28" t="e" cm="1" vm="1">
        <f t="array" ref="BQB3">_xlfn._xlws.FILTER(Rutas,_xlfn._xlws.FILTER($B$2:$B$10000,$B$2:$B$10000&lt;&gt;"")=VALUE(INDEX(IdClientes,MATCH(BQB2,Clientes,0))))</f>
        <v>#VALUE!</v>
      </c>
      <c r="BQC3" s="28" t="e" cm="1" vm="1">
        <f t="array" ref="BQC3">_xlfn._xlws.FILTER(Rutas,_xlfn._xlws.FILTER($B$2:$B$10000,$B$2:$B$10000&lt;&gt;"")=VALUE(INDEX(IdClientes,MATCH(BQC2,Clientes,0))))</f>
        <v>#VALUE!</v>
      </c>
      <c r="BQD3" s="28" t="e" cm="1" vm="1">
        <f t="array" ref="BQD3">_xlfn._xlws.FILTER(Rutas,_xlfn._xlws.FILTER($B$2:$B$10000,$B$2:$B$10000&lt;&gt;"")=VALUE(INDEX(IdClientes,MATCH(BQD2,Clientes,0))))</f>
        <v>#VALUE!</v>
      </c>
      <c r="BQE3" s="28" t="e" cm="1" vm="1">
        <f t="array" ref="BQE3">_xlfn._xlws.FILTER(Rutas,_xlfn._xlws.FILTER($B$2:$B$10000,$B$2:$B$10000&lt;&gt;"")=VALUE(INDEX(IdClientes,MATCH(BQE2,Clientes,0))))</f>
        <v>#VALUE!</v>
      </c>
      <c r="BQF3" s="28" t="e" cm="1" vm="1">
        <f t="array" ref="BQF3">_xlfn._xlws.FILTER(Rutas,_xlfn._xlws.FILTER($B$2:$B$10000,$B$2:$B$10000&lt;&gt;"")=VALUE(INDEX(IdClientes,MATCH(BQF2,Clientes,0))))</f>
        <v>#VALUE!</v>
      </c>
      <c r="BQG3" s="28" t="e" cm="1" vm="1">
        <f t="array" ref="BQG3">_xlfn._xlws.FILTER(Rutas,_xlfn._xlws.FILTER($B$2:$B$10000,$B$2:$B$10000&lt;&gt;"")=VALUE(INDEX(IdClientes,MATCH(BQG2,Clientes,0))))</f>
        <v>#VALUE!</v>
      </c>
      <c r="BQH3" s="28" t="e" cm="1" vm="1">
        <f t="array" ref="BQH3">_xlfn._xlws.FILTER(Rutas,_xlfn._xlws.FILTER($B$2:$B$10000,$B$2:$B$10000&lt;&gt;"")=VALUE(INDEX(IdClientes,MATCH(BQH2,Clientes,0))))</f>
        <v>#VALUE!</v>
      </c>
      <c r="BQI3" s="28" t="e" cm="1" vm="1">
        <f t="array" ref="BQI3">_xlfn._xlws.FILTER(Rutas,_xlfn._xlws.FILTER($B$2:$B$10000,$B$2:$B$10000&lt;&gt;"")=VALUE(INDEX(IdClientes,MATCH(BQI2,Clientes,0))))</f>
        <v>#VALUE!</v>
      </c>
      <c r="BQJ3" s="28" t="e" cm="1" vm="1">
        <f t="array" ref="BQJ3">_xlfn._xlws.FILTER(Rutas,_xlfn._xlws.FILTER($B$2:$B$10000,$B$2:$B$10000&lt;&gt;"")=VALUE(INDEX(IdClientes,MATCH(BQJ2,Clientes,0))))</f>
        <v>#VALUE!</v>
      </c>
      <c r="BQK3" s="28" t="e" cm="1" vm="1">
        <f t="array" ref="BQK3">_xlfn._xlws.FILTER(Rutas,_xlfn._xlws.FILTER($B$2:$B$10000,$B$2:$B$10000&lt;&gt;"")=VALUE(INDEX(IdClientes,MATCH(BQK2,Clientes,0))))</f>
        <v>#VALUE!</v>
      </c>
      <c r="BQL3" s="28" t="e" cm="1" vm="1">
        <f t="array" ref="BQL3">_xlfn._xlws.FILTER(Rutas,_xlfn._xlws.FILTER($B$2:$B$10000,$B$2:$B$10000&lt;&gt;"")=VALUE(INDEX(IdClientes,MATCH(BQL2,Clientes,0))))</f>
        <v>#VALUE!</v>
      </c>
      <c r="BQM3" s="28" t="e" cm="1" vm="1">
        <f t="array" ref="BQM3">_xlfn._xlws.FILTER(Rutas,_xlfn._xlws.FILTER($B$2:$B$10000,$B$2:$B$10000&lt;&gt;"")=VALUE(INDEX(IdClientes,MATCH(BQM2,Clientes,0))))</f>
        <v>#VALUE!</v>
      </c>
      <c r="BQN3" s="28" t="e" cm="1" vm="1">
        <f t="array" ref="BQN3">_xlfn._xlws.FILTER(Rutas,_xlfn._xlws.FILTER($B$2:$B$10000,$B$2:$B$10000&lt;&gt;"")=VALUE(INDEX(IdClientes,MATCH(BQN2,Clientes,0))))</f>
        <v>#VALUE!</v>
      </c>
      <c r="BQO3" s="28" t="e" cm="1" vm="1">
        <f t="array" ref="BQO3">_xlfn._xlws.FILTER(Rutas,_xlfn._xlws.FILTER($B$2:$B$10000,$B$2:$B$10000&lt;&gt;"")=VALUE(INDEX(IdClientes,MATCH(BQO2,Clientes,0))))</f>
        <v>#VALUE!</v>
      </c>
      <c r="BQP3" s="28" t="e" cm="1" vm="1">
        <f t="array" ref="BQP3">_xlfn._xlws.FILTER(Rutas,_xlfn._xlws.FILTER($B$2:$B$10000,$B$2:$B$10000&lt;&gt;"")=VALUE(INDEX(IdClientes,MATCH(BQP2,Clientes,0))))</f>
        <v>#VALUE!</v>
      </c>
      <c r="BQQ3" s="28" t="e" cm="1" vm="1">
        <f t="array" ref="BQQ3">_xlfn._xlws.FILTER(Rutas,_xlfn._xlws.FILTER($B$2:$B$10000,$B$2:$B$10000&lt;&gt;"")=VALUE(INDEX(IdClientes,MATCH(BQQ2,Clientes,0))))</f>
        <v>#VALUE!</v>
      </c>
      <c r="BQR3" s="28" t="e" cm="1" vm="1">
        <f t="array" ref="BQR3">_xlfn._xlws.FILTER(Rutas,_xlfn._xlws.FILTER($B$2:$B$10000,$B$2:$B$10000&lt;&gt;"")=VALUE(INDEX(IdClientes,MATCH(BQR2,Clientes,0))))</f>
        <v>#VALUE!</v>
      </c>
      <c r="BQS3" s="28" t="e" cm="1" vm="1">
        <f t="array" ref="BQS3">_xlfn._xlws.FILTER(Rutas,_xlfn._xlws.FILTER($B$2:$B$10000,$B$2:$B$10000&lt;&gt;"")=VALUE(INDEX(IdClientes,MATCH(BQS2,Clientes,0))))</f>
        <v>#VALUE!</v>
      </c>
      <c r="BQT3" s="28" t="e" cm="1" vm="1">
        <f t="array" ref="BQT3">_xlfn._xlws.FILTER(Rutas,_xlfn._xlws.FILTER($B$2:$B$10000,$B$2:$B$10000&lt;&gt;"")=VALUE(INDEX(IdClientes,MATCH(BQT2,Clientes,0))))</f>
        <v>#VALUE!</v>
      </c>
      <c r="BQU3" s="28" t="e" cm="1" vm="1">
        <f t="array" ref="BQU3">_xlfn._xlws.FILTER(Rutas,_xlfn._xlws.FILTER($B$2:$B$10000,$B$2:$B$10000&lt;&gt;"")=VALUE(INDEX(IdClientes,MATCH(BQU2,Clientes,0))))</f>
        <v>#VALUE!</v>
      </c>
      <c r="BQV3" s="28" t="e" cm="1" vm="1">
        <f t="array" ref="BQV3">_xlfn._xlws.FILTER(Rutas,_xlfn._xlws.FILTER($B$2:$B$10000,$B$2:$B$10000&lt;&gt;"")=VALUE(INDEX(IdClientes,MATCH(BQV2,Clientes,0))))</f>
        <v>#VALUE!</v>
      </c>
      <c r="BQW3" s="28" t="e" cm="1" vm="1">
        <f t="array" ref="BQW3">_xlfn._xlws.FILTER(Rutas,_xlfn._xlws.FILTER($B$2:$B$10000,$B$2:$B$10000&lt;&gt;"")=VALUE(INDEX(IdClientes,MATCH(BQW2,Clientes,0))))</f>
        <v>#VALUE!</v>
      </c>
      <c r="BQX3" s="28" t="e" cm="1" vm="1">
        <f t="array" ref="BQX3">_xlfn._xlws.FILTER(Rutas,_xlfn._xlws.FILTER($B$2:$B$10000,$B$2:$B$10000&lt;&gt;"")=VALUE(INDEX(IdClientes,MATCH(BQX2,Clientes,0))))</f>
        <v>#VALUE!</v>
      </c>
      <c r="BQY3" s="28" t="e" cm="1" vm="1">
        <f t="array" ref="BQY3">_xlfn._xlws.FILTER(Rutas,_xlfn._xlws.FILTER($B$2:$B$10000,$B$2:$B$10000&lt;&gt;"")=VALUE(INDEX(IdClientes,MATCH(BQY2,Clientes,0))))</f>
        <v>#VALUE!</v>
      </c>
      <c r="BQZ3" s="28" t="e" cm="1" vm="1">
        <f t="array" ref="BQZ3">_xlfn._xlws.FILTER(Rutas,_xlfn._xlws.FILTER($B$2:$B$10000,$B$2:$B$10000&lt;&gt;"")=VALUE(INDEX(IdClientes,MATCH(BQZ2,Clientes,0))))</f>
        <v>#VALUE!</v>
      </c>
      <c r="BRA3" s="28" t="e" cm="1" vm="1">
        <f t="array" ref="BRA3">_xlfn._xlws.FILTER(Rutas,_xlfn._xlws.FILTER($B$2:$B$10000,$B$2:$B$10000&lt;&gt;"")=VALUE(INDEX(IdClientes,MATCH(BRA2,Clientes,0))))</f>
        <v>#VALUE!</v>
      </c>
      <c r="BRB3" s="28" t="e" cm="1" vm="1">
        <f t="array" ref="BRB3">_xlfn._xlws.FILTER(Rutas,_xlfn._xlws.FILTER($B$2:$B$10000,$B$2:$B$10000&lt;&gt;"")=VALUE(INDEX(IdClientes,MATCH(BRB2,Clientes,0))))</f>
        <v>#VALUE!</v>
      </c>
      <c r="BRC3" s="28" t="e" cm="1" vm="1">
        <f t="array" ref="BRC3">_xlfn._xlws.FILTER(Rutas,_xlfn._xlws.FILTER($B$2:$B$10000,$B$2:$B$10000&lt;&gt;"")=VALUE(INDEX(IdClientes,MATCH(BRC2,Clientes,0))))</f>
        <v>#VALUE!</v>
      </c>
      <c r="BRD3" s="28" t="e" cm="1" vm="1">
        <f t="array" ref="BRD3">_xlfn._xlws.FILTER(Rutas,_xlfn._xlws.FILTER($B$2:$B$10000,$B$2:$B$10000&lt;&gt;"")=VALUE(INDEX(IdClientes,MATCH(BRD2,Clientes,0))))</f>
        <v>#VALUE!</v>
      </c>
      <c r="BRE3" s="28" t="e" cm="1" vm="1">
        <f t="array" ref="BRE3">_xlfn._xlws.FILTER(Rutas,_xlfn._xlws.FILTER($B$2:$B$10000,$B$2:$B$10000&lt;&gt;"")=VALUE(INDEX(IdClientes,MATCH(BRE2,Clientes,0))))</f>
        <v>#VALUE!</v>
      </c>
      <c r="BRF3" s="28" t="e" cm="1" vm="1">
        <f t="array" ref="BRF3">_xlfn._xlws.FILTER(Rutas,_xlfn._xlws.FILTER($B$2:$B$10000,$B$2:$B$10000&lt;&gt;"")=VALUE(INDEX(IdClientes,MATCH(BRF2,Clientes,0))))</f>
        <v>#VALUE!</v>
      </c>
      <c r="BRG3" s="28" t="e" cm="1" vm="1">
        <f t="array" ref="BRG3">_xlfn._xlws.FILTER(Rutas,_xlfn._xlws.FILTER($B$2:$B$10000,$B$2:$B$10000&lt;&gt;"")=VALUE(INDEX(IdClientes,MATCH(BRG2,Clientes,0))))</f>
        <v>#VALUE!</v>
      </c>
      <c r="BRH3" s="28" t="e" cm="1" vm="1">
        <f t="array" ref="BRH3">_xlfn._xlws.FILTER(Rutas,_xlfn._xlws.FILTER($B$2:$B$10000,$B$2:$B$10000&lt;&gt;"")=VALUE(INDEX(IdClientes,MATCH(BRH2,Clientes,0))))</f>
        <v>#VALUE!</v>
      </c>
      <c r="BRI3" s="28" t="e" cm="1" vm="1">
        <f t="array" ref="BRI3">_xlfn._xlws.FILTER(Rutas,_xlfn._xlws.FILTER($B$2:$B$10000,$B$2:$B$10000&lt;&gt;"")=VALUE(INDEX(IdClientes,MATCH(BRI2,Clientes,0))))</f>
        <v>#VALUE!</v>
      </c>
      <c r="BRJ3" s="28" t="e" cm="1" vm="1">
        <f t="array" ref="BRJ3">_xlfn._xlws.FILTER(Rutas,_xlfn._xlws.FILTER($B$2:$B$10000,$B$2:$B$10000&lt;&gt;"")=VALUE(INDEX(IdClientes,MATCH(BRJ2,Clientes,0))))</f>
        <v>#VALUE!</v>
      </c>
      <c r="BRK3" s="28" t="e" cm="1" vm="1">
        <f t="array" ref="BRK3">_xlfn._xlws.FILTER(Rutas,_xlfn._xlws.FILTER($B$2:$B$10000,$B$2:$B$10000&lt;&gt;"")=VALUE(INDEX(IdClientes,MATCH(BRK2,Clientes,0))))</f>
        <v>#VALUE!</v>
      </c>
      <c r="BRL3" s="28" t="e" cm="1" vm="1">
        <f t="array" ref="BRL3">_xlfn._xlws.FILTER(Rutas,_xlfn._xlws.FILTER($B$2:$B$10000,$B$2:$B$10000&lt;&gt;"")=VALUE(INDEX(IdClientes,MATCH(BRL2,Clientes,0))))</f>
        <v>#VALUE!</v>
      </c>
      <c r="BRM3" s="28" t="e" cm="1" vm="1">
        <f t="array" ref="BRM3">_xlfn._xlws.FILTER(Rutas,_xlfn._xlws.FILTER($B$2:$B$10000,$B$2:$B$10000&lt;&gt;"")=VALUE(INDEX(IdClientes,MATCH(BRM2,Clientes,0))))</f>
        <v>#VALUE!</v>
      </c>
      <c r="BRN3" s="28" t="e" cm="1" vm="1">
        <f t="array" ref="BRN3">_xlfn._xlws.FILTER(Rutas,_xlfn._xlws.FILTER($B$2:$B$10000,$B$2:$B$10000&lt;&gt;"")=VALUE(INDEX(IdClientes,MATCH(BRN2,Clientes,0))))</f>
        <v>#VALUE!</v>
      </c>
      <c r="BRO3" s="28" t="e" cm="1" vm="1">
        <f t="array" ref="BRO3">_xlfn._xlws.FILTER(Rutas,_xlfn._xlws.FILTER($B$2:$B$10000,$B$2:$B$10000&lt;&gt;"")=VALUE(INDEX(IdClientes,MATCH(BRO2,Clientes,0))))</f>
        <v>#VALUE!</v>
      </c>
      <c r="BRP3" s="28" t="e" cm="1" vm="1">
        <f t="array" ref="BRP3">_xlfn._xlws.FILTER(Rutas,_xlfn._xlws.FILTER($B$2:$B$10000,$B$2:$B$10000&lt;&gt;"")=VALUE(INDEX(IdClientes,MATCH(BRP2,Clientes,0))))</f>
        <v>#VALUE!</v>
      </c>
      <c r="BRQ3" s="28" t="e" cm="1" vm="1">
        <f t="array" ref="BRQ3">_xlfn._xlws.FILTER(Rutas,_xlfn._xlws.FILTER($B$2:$B$10000,$B$2:$B$10000&lt;&gt;"")=VALUE(INDEX(IdClientes,MATCH(BRQ2,Clientes,0))))</f>
        <v>#VALUE!</v>
      </c>
      <c r="BRR3" s="28" t="e" cm="1" vm="1">
        <f t="array" ref="BRR3">_xlfn._xlws.FILTER(Rutas,_xlfn._xlws.FILTER($B$2:$B$10000,$B$2:$B$10000&lt;&gt;"")=VALUE(INDEX(IdClientes,MATCH(BRR2,Clientes,0))))</f>
        <v>#VALUE!</v>
      </c>
      <c r="BRS3" s="28" t="e" cm="1" vm="1">
        <f t="array" ref="BRS3">_xlfn._xlws.FILTER(Rutas,_xlfn._xlws.FILTER($B$2:$B$10000,$B$2:$B$10000&lt;&gt;"")=VALUE(INDEX(IdClientes,MATCH(BRS2,Clientes,0))))</f>
        <v>#VALUE!</v>
      </c>
      <c r="BRT3" s="28" t="e" cm="1" vm="1">
        <f t="array" ref="BRT3">_xlfn._xlws.FILTER(Rutas,_xlfn._xlws.FILTER($B$2:$B$10000,$B$2:$B$10000&lt;&gt;"")=VALUE(INDEX(IdClientes,MATCH(BRT2,Clientes,0))))</f>
        <v>#VALUE!</v>
      </c>
      <c r="BRU3" s="28" t="e" cm="1" vm="1">
        <f t="array" ref="BRU3">_xlfn._xlws.FILTER(Rutas,_xlfn._xlws.FILTER($B$2:$B$10000,$B$2:$B$10000&lt;&gt;"")=VALUE(INDEX(IdClientes,MATCH(BRU2,Clientes,0))))</f>
        <v>#VALUE!</v>
      </c>
      <c r="BRV3" s="28" t="e" cm="1" vm="1">
        <f t="array" ref="BRV3">_xlfn._xlws.FILTER(Rutas,_xlfn._xlws.FILTER($B$2:$B$10000,$B$2:$B$10000&lt;&gt;"")=VALUE(INDEX(IdClientes,MATCH(BRV2,Clientes,0))))</f>
        <v>#VALUE!</v>
      </c>
      <c r="BRW3" s="28" t="e" cm="1" vm="1">
        <f t="array" ref="BRW3">_xlfn._xlws.FILTER(Rutas,_xlfn._xlws.FILTER($B$2:$B$10000,$B$2:$B$10000&lt;&gt;"")=VALUE(INDEX(IdClientes,MATCH(BRW2,Clientes,0))))</f>
        <v>#VALUE!</v>
      </c>
      <c r="BRX3" s="28" t="e" cm="1" vm="1">
        <f t="array" ref="BRX3">_xlfn._xlws.FILTER(Rutas,_xlfn._xlws.FILTER($B$2:$B$10000,$B$2:$B$10000&lt;&gt;"")=VALUE(INDEX(IdClientes,MATCH(BRX2,Clientes,0))))</f>
        <v>#VALUE!</v>
      </c>
      <c r="BRY3" s="28" t="e" cm="1" vm="1">
        <f t="array" ref="BRY3">_xlfn._xlws.FILTER(Rutas,_xlfn._xlws.FILTER($B$2:$B$10000,$B$2:$B$10000&lt;&gt;"")=VALUE(INDEX(IdClientes,MATCH(BRY2,Clientes,0))))</f>
        <v>#VALUE!</v>
      </c>
      <c r="BRZ3" s="28" t="e" cm="1" vm="1">
        <f t="array" ref="BRZ3">_xlfn._xlws.FILTER(Rutas,_xlfn._xlws.FILTER($B$2:$B$10000,$B$2:$B$10000&lt;&gt;"")=VALUE(INDEX(IdClientes,MATCH(BRZ2,Clientes,0))))</f>
        <v>#VALUE!</v>
      </c>
      <c r="BSA3" s="28" t="e" cm="1" vm="1">
        <f t="array" ref="BSA3">_xlfn._xlws.FILTER(Rutas,_xlfn._xlws.FILTER($B$2:$B$10000,$B$2:$B$10000&lt;&gt;"")=VALUE(INDEX(IdClientes,MATCH(BSA2,Clientes,0))))</f>
        <v>#VALUE!</v>
      </c>
      <c r="BSB3" s="28" t="e" cm="1" vm="1">
        <f t="array" ref="BSB3">_xlfn._xlws.FILTER(Rutas,_xlfn._xlws.FILTER($B$2:$B$10000,$B$2:$B$10000&lt;&gt;"")=VALUE(INDEX(IdClientes,MATCH(BSB2,Clientes,0))))</f>
        <v>#VALUE!</v>
      </c>
      <c r="BSC3" s="28" t="e" cm="1" vm="1">
        <f t="array" ref="BSC3">_xlfn._xlws.FILTER(Rutas,_xlfn._xlws.FILTER($B$2:$B$10000,$B$2:$B$10000&lt;&gt;"")=VALUE(INDEX(IdClientes,MATCH(BSC2,Clientes,0))))</f>
        <v>#VALUE!</v>
      </c>
      <c r="BSD3" s="28" t="e" cm="1" vm="1">
        <f t="array" ref="BSD3">_xlfn._xlws.FILTER(Rutas,_xlfn._xlws.FILTER($B$2:$B$10000,$B$2:$B$10000&lt;&gt;"")=VALUE(INDEX(IdClientes,MATCH(BSD2,Clientes,0))))</f>
        <v>#VALUE!</v>
      </c>
      <c r="BSE3" s="28" t="e" cm="1" vm="1">
        <f t="array" ref="BSE3">_xlfn._xlws.FILTER(Rutas,_xlfn._xlws.FILTER($B$2:$B$10000,$B$2:$B$10000&lt;&gt;"")=VALUE(INDEX(IdClientes,MATCH(BSE2,Clientes,0))))</f>
        <v>#VALUE!</v>
      </c>
      <c r="BSF3" s="28" t="e" cm="1" vm="1">
        <f t="array" ref="BSF3">_xlfn._xlws.FILTER(Rutas,_xlfn._xlws.FILTER($B$2:$B$10000,$B$2:$B$10000&lt;&gt;"")=VALUE(INDEX(IdClientes,MATCH(BSF2,Clientes,0))))</f>
        <v>#VALUE!</v>
      </c>
      <c r="BSG3" s="28" t="e" cm="1" vm="1">
        <f t="array" ref="BSG3">_xlfn._xlws.FILTER(Rutas,_xlfn._xlws.FILTER($B$2:$B$10000,$B$2:$B$10000&lt;&gt;"")=VALUE(INDEX(IdClientes,MATCH(BSG2,Clientes,0))))</f>
        <v>#VALUE!</v>
      </c>
      <c r="BSH3" s="28" t="e" cm="1" vm="1">
        <f t="array" ref="BSH3">_xlfn._xlws.FILTER(Rutas,_xlfn._xlws.FILTER($B$2:$B$10000,$B$2:$B$10000&lt;&gt;"")=VALUE(INDEX(IdClientes,MATCH(BSH2,Clientes,0))))</f>
        <v>#VALUE!</v>
      </c>
      <c r="BSI3" s="28" t="e" cm="1" vm="1">
        <f t="array" ref="BSI3">_xlfn._xlws.FILTER(Rutas,_xlfn._xlws.FILTER($B$2:$B$10000,$B$2:$B$10000&lt;&gt;"")=VALUE(INDEX(IdClientes,MATCH(BSI2,Clientes,0))))</f>
        <v>#VALUE!</v>
      </c>
      <c r="BSJ3" s="28" t="e" cm="1" vm="1">
        <f t="array" ref="BSJ3">_xlfn._xlws.FILTER(Rutas,_xlfn._xlws.FILTER($B$2:$B$10000,$B$2:$B$10000&lt;&gt;"")=VALUE(INDEX(IdClientes,MATCH(BSJ2,Clientes,0))))</f>
        <v>#VALUE!</v>
      </c>
      <c r="BSK3" s="28" t="e" cm="1" vm="1">
        <f t="array" ref="BSK3">_xlfn._xlws.FILTER(Rutas,_xlfn._xlws.FILTER($B$2:$B$10000,$B$2:$B$10000&lt;&gt;"")=VALUE(INDEX(IdClientes,MATCH(BSK2,Clientes,0))))</f>
        <v>#VALUE!</v>
      </c>
      <c r="BSL3" s="28" t="e" cm="1" vm="1">
        <f t="array" ref="BSL3">_xlfn._xlws.FILTER(Rutas,_xlfn._xlws.FILTER($B$2:$B$10000,$B$2:$B$10000&lt;&gt;"")=VALUE(INDEX(IdClientes,MATCH(BSL2,Clientes,0))))</f>
        <v>#VALUE!</v>
      </c>
      <c r="BSM3" s="28" t="e" cm="1" vm="1">
        <f t="array" ref="BSM3">_xlfn._xlws.FILTER(Rutas,_xlfn._xlws.FILTER($B$2:$B$10000,$B$2:$B$10000&lt;&gt;"")=VALUE(INDEX(IdClientes,MATCH(BSM2,Clientes,0))))</f>
        <v>#VALUE!</v>
      </c>
      <c r="BSN3" s="28" t="e" cm="1" vm="1">
        <f t="array" ref="BSN3">_xlfn._xlws.FILTER(Rutas,_xlfn._xlws.FILTER($B$2:$B$10000,$B$2:$B$10000&lt;&gt;"")=VALUE(INDEX(IdClientes,MATCH(BSN2,Clientes,0))))</f>
        <v>#VALUE!</v>
      </c>
      <c r="BSO3" s="28" t="e" cm="1" vm="1">
        <f t="array" ref="BSO3">_xlfn._xlws.FILTER(Rutas,_xlfn._xlws.FILTER($B$2:$B$10000,$B$2:$B$10000&lt;&gt;"")=VALUE(INDEX(IdClientes,MATCH(BSO2,Clientes,0))))</f>
        <v>#VALUE!</v>
      </c>
      <c r="BSP3" s="28" t="e" cm="1" vm="1">
        <f t="array" ref="BSP3">_xlfn._xlws.FILTER(Rutas,_xlfn._xlws.FILTER($B$2:$B$10000,$B$2:$B$10000&lt;&gt;"")=VALUE(INDEX(IdClientes,MATCH(BSP2,Clientes,0))))</f>
        <v>#VALUE!</v>
      </c>
      <c r="BSQ3" s="28" t="e" cm="1" vm="1">
        <f t="array" ref="BSQ3">_xlfn._xlws.FILTER(Rutas,_xlfn._xlws.FILTER($B$2:$B$10000,$B$2:$B$10000&lt;&gt;"")=VALUE(INDEX(IdClientes,MATCH(BSQ2,Clientes,0))))</f>
        <v>#VALUE!</v>
      </c>
      <c r="BSR3" s="28" t="e" cm="1" vm="1">
        <f t="array" ref="BSR3">_xlfn._xlws.FILTER(Rutas,_xlfn._xlws.FILTER($B$2:$B$10000,$B$2:$B$10000&lt;&gt;"")=VALUE(INDEX(IdClientes,MATCH(BSR2,Clientes,0))))</f>
        <v>#VALUE!</v>
      </c>
      <c r="BSS3" s="28" t="e" cm="1" vm="1">
        <f t="array" ref="BSS3">_xlfn._xlws.FILTER(Rutas,_xlfn._xlws.FILTER($B$2:$B$10000,$B$2:$B$10000&lt;&gt;"")=VALUE(INDEX(IdClientes,MATCH(BSS2,Clientes,0))))</f>
        <v>#VALUE!</v>
      </c>
      <c r="BST3" s="28" t="e" cm="1" vm="1">
        <f t="array" ref="BST3">_xlfn._xlws.FILTER(Rutas,_xlfn._xlws.FILTER($B$2:$B$10000,$B$2:$B$10000&lt;&gt;"")=VALUE(INDEX(IdClientes,MATCH(BST2,Clientes,0))))</f>
        <v>#VALUE!</v>
      </c>
      <c r="BSU3" s="28" t="e" cm="1" vm="1">
        <f t="array" ref="BSU3">_xlfn._xlws.FILTER(Rutas,_xlfn._xlws.FILTER($B$2:$B$10000,$B$2:$B$10000&lt;&gt;"")=VALUE(INDEX(IdClientes,MATCH(BSU2,Clientes,0))))</f>
        <v>#VALUE!</v>
      </c>
      <c r="BSV3" s="28" t="e" cm="1" vm="1">
        <f t="array" ref="BSV3">_xlfn._xlws.FILTER(Rutas,_xlfn._xlws.FILTER($B$2:$B$10000,$B$2:$B$10000&lt;&gt;"")=VALUE(INDEX(IdClientes,MATCH(BSV2,Clientes,0))))</f>
        <v>#VALUE!</v>
      </c>
      <c r="BSW3" s="28" t="e" cm="1" vm="1">
        <f t="array" ref="BSW3">_xlfn._xlws.FILTER(Rutas,_xlfn._xlws.FILTER($B$2:$B$10000,$B$2:$B$10000&lt;&gt;"")=VALUE(INDEX(IdClientes,MATCH(BSW2,Clientes,0))))</f>
        <v>#VALUE!</v>
      </c>
      <c r="BSX3" s="28" t="e" cm="1" vm="1">
        <f t="array" ref="BSX3">_xlfn._xlws.FILTER(Rutas,_xlfn._xlws.FILTER($B$2:$B$10000,$B$2:$B$10000&lt;&gt;"")=VALUE(INDEX(IdClientes,MATCH(BSX2,Clientes,0))))</f>
        <v>#VALUE!</v>
      </c>
      <c r="BSY3" s="28" t="e" cm="1" vm="1">
        <f t="array" ref="BSY3">_xlfn._xlws.FILTER(Rutas,_xlfn._xlws.FILTER($B$2:$B$10000,$B$2:$B$10000&lt;&gt;"")=VALUE(INDEX(IdClientes,MATCH(BSY2,Clientes,0))))</f>
        <v>#VALUE!</v>
      </c>
      <c r="BSZ3" s="28" t="e" cm="1" vm="1">
        <f t="array" ref="BSZ3">_xlfn._xlws.FILTER(Rutas,_xlfn._xlws.FILTER($B$2:$B$10000,$B$2:$B$10000&lt;&gt;"")=VALUE(INDEX(IdClientes,MATCH(BSZ2,Clientes,0))))</f>
        <v>#VALUE!</v>
      </c>
      <c r="BTA3" s="28" t="e" cm="1" vm="1">
        <f t="array" ref="BTA3">_xlfn._xlws.FILTER(Rutas,_xlfn._xlws.FILTER($B$2:$B$10000,$B$2:$B$10000&lt;&gt;"")=VALUE(INDEX(IdClientes,MATCH(BTA2,Clientes,0))))</f>
        <v>#VALUE!</v>
      </c>
      <c r="BTB3" s="28" t="e" cm="1" vm="1">
        <f t="array" ref="BTB3">_xlfn._xlws.FILTER(Rutas,_xlfn._xlws.FILTER($B$2:$B$10000,$B$2:$B$10000&lt;&gt;"")=VALUE(INDEX(IdClientes,MATCH(BTB2,Clientes,0))))</f>
        <v>#VALUE!</v>
      </c>
      <c r="BTC3" s="28" t="e" cm="1" vm="1">
        <f t="array" ref="BTC3">_xlfn._xlws.FILTER(Rutas,_xlfn._xlws.FILTER($B$2:$B$10000,$B$2:$B$10000&lt;&gt;"")=VALUE(INDEX(IdClientes,MATCH(BTC2,Clientes,0))))</f>
        <v>#VALUE!</v>
      </c>
      <c r="BTD3" s="28" t="e" cm="1" vm="1">
        <f t="array" ref="BTD3">_xlfn._xlws.FILTER(Rutas,_xlfn._xlws.FILTER($B$2:$B$10000,$B$2:$B$10000&lt;&gt;"")=VALUE(INDEX(IdClientes,MATCH(BTD2,Clientes,0))))</f>
        <v>#VALUE!</v>
      </c>
      <c r="BTE3" s="28" t="e" cm="1" vm="1">
        <f t="array" ref="BTE3">_xlfn._xlws.FILTER(Rutas,_xlfn._xlws.FILTER($B$2:$B$10000,$B$2:$B$10000&lt;&gt;"")=VALUE(INDEX(IdClientes,MATCH(BTE2,Clientes,0))))</f>
        <v>#VALUE!</v>
      </c>
      <c r="BTF3" s="28" t="e" cm="1" vm="1">
        <f t="array" ref="BTF3">_xlfn._xlws.FILTER(Rutas,_xlfn._xlws.FILTER($B$2:$B$10000,$B$2:$B$10000&lt;&gt;"")=VALUE(INDEX(IdClientes,MATCH(BTF2,Clientes,0))))</f>
        <v>#VALUE!</v>
      </c>
      <c r="BTG3" s="28" t="e" cm="1" vm="1">
        <f t="array" ref="BTG3">_xlfn._xlws.FILTER(Rutas,_xlfn._xlws.FILTER($B$2:$B$10000,$B$2:$B$10000&lt;&gt;"")=VALUE(INDEX(IdClientes,MATCH(BTG2,Clientes,0))))</f>
        <v>#VALUE!</v>
      </c>
      <c r="BTH3" s="28" t="e" cm="1" vm="1">
        <f t="array" ref="BTH3">_xlfn._xlws.FILTER(Rutas,_xlfn._xlws.FILTER($B$2:$B$10000,$B$2:$B$10000&lt;&gt;"")=VALUE(INDEX(IdClientes,MATCH(BTH2,Clientes,0))))</f>
        <v>#VALUE!</v>
      </c>
      <c r="BTI3" s="28" t="e" cm="1" vm="1">
        <f t="array" ref="BTI3">_xlfn._xlws.FILTER(Rutas,_xlfn._xlws.FILTER($B$2:$B$10000,$B$2:$B$10000&lt;&gt;"")=VALUE(INDEX(IdClientes,MATCH(BTI2,Clientes,0))))</f>
        <v>#VALUE!</v>
      </c>
      <c r="BTJ3" s="28" t="e" cm="1" vm="1">
        <f t="array" ref="BTJ3">_xlfn._xlws.FILTER(Rutas,_xlfn._xlws.FILTER($B$2:$B$10000,$B$2:$B$10000&lt;&gt;"")=VALUE(INDEX(IdClientes,MATCH(BTJ2,Clientes,0))))</f>
        <v>#VALUE!</v>
      </c>
      <c r="BTK3" s="28" t="e" cm="1" vm="1">
        <f t="array" ref="BTK3">_xlfn._xlws.FILTER(Rutas,_xlfn._xlws.FILTER($B$2:$B$10000,$B$2:$B$10000&lt;&gt;"")=VALUE(INDEX(IdClientes,MATCH(BTK2,Clientes,0))))</f>
        <v>#VALUE!</v>
      </c>
      <c r="BTL3" s="28" t="e" cm="1" vm="1">
        <f t="array" ref="BTL3">_xlfn._xlws.FILTER(Rutas,_xlfn._xlws.FILTER($B$2:$B$10000,$B$2:$B$10000&lt;&gt;"")=VALUE(INDEX(IdClientes,MATCH(BTL2,Clientes,0))))</f>
        <v>#VALUE!</v>
      </c>
      <c r="BTM3" s="28" t="e" cm="1" vm="1">
        <f t="array" ref="BTM3">_xlfn._xlws.FILTER(Rutas,_xlfn._xlws.FILTER($B$2:$B$10000,$B$2:$B$10000&lt;&gt;"")=VALUE(INDEX(IdClientes,MATCH(BTM2,Clientes,0))))</f>
        <v>#VALUE!</v>
      </c>
      <c r="BTN3" s="28" t="e" cm="1" vm="1">
        <f t="array" ref="BTN3">_xlfn._xlws.FILTER(Rutas,_xlfn._xlws.FILTER($B$2:$B$10000,$B$2:$B$10000&lt;&gt;"")=VALUE(INDEX(IdClientes,MATCH(BTN2,Clientes,0))))</f>
        <v>#VALUE!</v>
      </c>
      <c r="BTO3" s="28" t="e" cm="1" vm="1">
        <f t="array" ref="BTO3">_xlfn._xlws.FILTER(Rutas,_xlfn._xlws.FILTER($B$2:$B$10000,$B$2:$B$10000&lt;&gt;"")=VALUE(INDEX(IdClientes,MATCH(BTO2,Clientes,0))))</f>
        <v>#VALUE!</v>
      </c>
      <c r="BTP3" s="28" t="e" cm="1" vm="1">
        <f t="array" ref="BTP3">_xlfn._xlws.FILTER(Rutas,_xlfn._xlws.FILTER($B$2:$B$10000,$B$2:$B$10000&lt;&gt;"")=VALUE(INDEX(IdClientes,MATCH(BTP2,Clientes,0))))</f>
        <v>#VALUE!</v>
      </c>
      <c r="BTQ3" s="28" t="e" cm="1" vm="1">
        <f t="array" ref="BTQ3">_xlfn._xlws.FILTER(Rutas,_xlfn._xlws.FILTER($B$2:$B$10000,$B$2:$B$10000&lt;&gt;"")=VALUE(INDEX(IdClientes,MATCH(BTQ2,Clientes,0))))</f>
        <v>#VALUE!</v>
      </c>
      <c r="BTR3" s="28" t="e" cm="1" vm="1">
        <f t="array" ref="BTR3">_xlfn._xlws.FILTER(Rutas,_xlfn._xlws.FILTER($B$2:$B$10000,$B$2:$B$10000&lt;&gt;"")=VALUE(INDEX(IdClientes,MATCH(BTR2,Clientes,0))))</f>
        <v>#VALUE!</v>
      </c>
      <c r="BTS3" s="28" t="e" cm="1" vm="1">
        <f t="array" ref="BTS3">_xlfn._xlws.FILTER(Rutas,_xlfn._xlws.FILTER($B$2:$B$10000,$B$2:$B$10000&lt;&gt;"")=VALUE(INDEX(IdClientes,MATCH(BTS2,Clientes,0))))</f>
        <v>#VALUE!</v>
      </c>
      <c r="BTT3" s="28" t="e" cm="1" vm="1">
        <f t="array" ref="BTT3">_xlfn._xlws.FILTER(Rutas,_xlfn._xlws.FILTER($B$2:$B$10000,$B$2:$B$10000&lt;&gt;"")=VALUE(INDEX(IdClientes,MATCH(BTT2,Clientes,0))))</f>
        <v>#VALUE!</v>
      </c>
      <c r="BTU3" s="28" t="e" cm="1" vm="1">
        <f t="array" ref="BTU3">_xlfn._xlws.FILTER(Rutas,_xlfn._xlws.FILTER($B$2:$B$10000,$B$2:$B$10000&lt;&gt;"")=VALUE(INDEX(IdClientes,MATCH(BTU2,Clientes,0))))</f>
        <v>#VALUE!</v>
      </c>
      <c r="BTV3" s="28" t="e" cm="1" vm="1">
        <f t="array" ref="BTV3">_xlfn._xlws.FILTER(Rutas,_xlfn._xlws.FILTER($B$2:$B$10000,$B$2:$B$10000&lt;&gt;"")=VALUE(INDEX(IdClientes,MATCH(BTV2,Clientes,0))))</f>
        <v>#VALUE!</v>
      </c>
      <c r="BTW3" s="28" t="e" cm="1" vm="1">
        <f t="array" ref="BTW3">_xlfn._xlws.FILTER(Rutas,_xlfn._xlws.FILTER($B$2:$B$10000,$B$2:$B$10000&lt;&gt;"")=VALUE(INDEX(IdClientes,MATCH(BTW2,Clientes,0))))</f>
        <v>#VALUE!</v>
      </c>
      <c r="BTX3" s="28" t="e" cm="1" vm="1">
        <f t="array" ref="BTX3">_xlfn._xlws.FILTER(Rutas,_xlfn._xlws.FILTER($B$2:$B$10000,$B$2:$B$10000&lt;&gt;"")=VALUE(INDEX(IdClientes,MATCH(BTX2,Clientes,0))))</f>
        <v>#VALUE!</v>
      </c>
      <c r="BTY3" s="28" t="e" cm="1" vm="1">
        <f t="array" ref="BTY3">_xlfn._xlws.FILTER(Rutas,_xlfn._xlws.FILTER($B$2:$B$10000,$B$2:$B$10000&lt;&gt;"")=VALUE(INDEX(IdClientes,MATCH(BTY2,Clientes,0))))</f>
        <v>#VALUE!</v>
      </c>
      <c r="BTZ3" s="28" t="e" cm="1" vm="1">
        <f t="array" ref="BTZ3">_xlfn._xlws.FILTER(Rutas,_xlfn._xlws.FILTER($B$2:$B$10000,$B$2:$B$10000&lt;&gt;"")=VALUE(INDEX(IdClientes,MATCH(BTZ2,Clientes,0))))</f>
        <v>#VALUE!</v>
      </c>
      <c r="BUA3" s="28" t="e" cm="1" vm="1">
        <f t="array" ref="BUA3">_xlfn._xlws.FILTER(Rutas,_xlfn._xlws.FILTER($B$2:$B$10000,$B$2:$B$10000&lt;&gt;"")=VALUE(INDEX(IdClientes,MATCH(BUA2,Clientes,0))))</f>
        <v>#VALUE!</v>
      </c>
      <c r="BUB3" s="28" t="e" cm="1" vm="1">
        <f t="array" ref="BUB3">_xlfn._xlws.FILTER(Rutas,_xlfn._xlws.FILTER($B$2:$B$10000,$B$2:$B$10000&lt;&gt;"")=VALUE(INDEX(IdClientes,MATCH(BUB2,Clientes,0))))</f>
        <v>#VALUE!</v>
      </c>
      <c r="BUC3" s="28" t="e" cm="1" vm="1">
        <f t="array" ref="BUC3">_xlfn._xlws.FILTER(Rutas,_xlfn._xlws.FILTER($B$2:$B$10000,$B$2:$B$10000&lt;&gt;"")=VALUE(INDEX(IdClientes,MATCH(BUC2,Clientes,0))))</f>
        <v>#VALUE!</v>
      </c>
      <c r="BUD3" s="28" t="e" cm="1" vm="1">
        <f t="array" ref="BUD3">_xlfn._xlws.FILTER(Rutas,_xlfn._xlws.FILTER($B$2:$B$10000,$B$2:$B$10000&lt;&gt;"")=VALUE(INDEX(IdClientes,MATCH(BUD2,Clientes,0))))</f>
        <v>#VALUE!</v>
      </c>
      <c r="BUE3" s="28" t="e" cm="1" vm="1">
        <f t="array" ref="BUE3">_xlfn._xlws.FILTER(Rutas,_xlfn._xlws.FILTER($B$2:$B$10000,$B$2:$B$10000&lt;&gt;"")=VALUE(INDEX(IdClientes,MATCH(BUE2,Clientes,0))))</f>
        <v>#VALUE!</v>
      </c>
      <c r="BUF3" s="28" t="e" cm="1" vm="1">
        <f t="array" ref="BUF3">_xlfn._xlws.FILTER(Rutas,_xlfn._xlws.FILTER($B$2:$B$10000,$B$2:$B$10000&lt;&gt;"")=VALUE(INDEX(IdClientes,MATCH(BUF2,Clientes,0))))</f>
        <v>#VALUE!</v>
      </c>
      <c r="BUG3" s="28" t="e" cm="1" vm="1">
        <f t="array" ref="BUG3">_xlfn._xlws.FILTER(Rutas,_xlfn._xlws.FILTER($B$2:$B$10000,$B$2:$B$10000&lt;&gt;"")=VALUE(INDEX(IdClientes,MATCH(BUG2,Clientes,0))))</f>
        <v>#VALUE!</v>
      </c>
      <c r="BUH3" s="28" t="e" cm="1" vm="1">
        <f t="array" ref="BUH3">_xlfn._xlws.FILTER(Rutas,_xlfn._xlws.FILTER($B$2:$B$10000,$B$2:$B$10000&lt;&gt;"")=VALUE(INDEX(IdClientes,MATCH(BUH2,Clientes,0))))</f>
        <v>#VALUE!</v>
      </c>
      <c r="BUI3" s="28" t="e" cm="1" vm="1">
        <f t="array" ref="BUI3">_xlfn._xlws.FILTER(Rutas,_xlfn._xlws.FILTER($B$2:$B$10000,$B$2:$B$10000&lt;&gt;"")=VALUE(INDEX(IdClientes,MATCH(BUI2,Clientes,0))))</f>
        <v>#VALUE!</v>
      </c>
      <c r="BUJ3" s="28" t="e" cm="1" vm="1">
        <f t="array" ref="BUJ3">_xlfn._xlws.FILTER(Rutas,_xlfn._xlws.FILTER($B$2:$B$10000,$B$2:$B$10000&lt;&gt;"")=VALUE(INDEX(IdClientes,MATCH(BUJ2,Clientes,0))))</f>
        <v>#VALUE!</v>
      </c>
      <c r="BUK3" s="28" t="e" cm="1" vm="1">
        <f t="array" ref="BUK3">_xlfn._xlws.FILTER(Rutas,_xlfn._xlws.FILTER($B$2:$B$10000,$B$2:$B$10000&lt;&gt;"")=VALUE(INDEX(IdClientes,MATCH(BUK2,Clientes,0))))</f>
        <v>#VALUE!</v>
      </c>
      <c r="BUL3" s="28" t="e" cm="1" vm="1">
        <f t="array" ref="BUL3">_xlfn._xlws.FILTER(Rutas,_xlfn._xlws.FILTER($B$2:$B$10000,$B$2:$B$10000&lt;&gt;"")=VALUE(INDEX(IdClientes,MATCH(BUL2,Clientes,0))))</f>
        <v>#VALUE!</v>
      </c>
      <c r="BUM3" s="28" t="e" cm="1" vm="1">
        <f t="array" ref="BUM3">_xlfn._xlws.FILTER(Rutas,_xlfn._xlws.FILTER($B$2:$B$10000,$B$2:$B$10000&lt;&gt;"")=VALUE(INDEX(IdClientes,MATCH(BUM2,Clientes,0))))</f>
        <v>#VALUE!</v>
      </c>
      <c r="BUN3" s="28" t="e" cm="1" vm="1">
        <f t="array" ref="BUN3">_xlfn._xlws.FILTER(Rutas,_xlfn._xlws.FILTER($B$2:$B$10000,$B$2:$B$10000&lt;&gt;"")=VALUE(INDEX(IdClientes,MATCH(BUN2,Clientes,0))))</f>
        <v>#VALUE!</v>
      </c>
      <c r="BUO3" s="28" t="e" cm="1" vm="1">
        <f t="array" ref="BUO3">_xlfn._xlws.FILTER(Rutas,_xlfn._xlws.FILTER($B$2:$B$10000,$B$2:$B$10000&lt;&gt;"")=VALUE(INDEX(IdClientes,MATCH(BUO2,Clientes,0))))</f>
        <v>#VALUE!</v>
      </c>
      <c r="BUP3" s="28" t="e" cm="1" vm="1">
        <f t="array" ref="BUP3">_xlfn._xlws.FILTER(Rutas,_xlfn._xlws.FILTER($B$2:$B$10000,$B$2:$B$10000&lt;&gt;"")=VALUE(INDEX(IdClientes,MATCH(BUP2,Clientes,0))))</f>
        <v>#VALUE!</v>
      </c>
      <c r="BUQ3" s="28" t="e" cm="1" vm="1">
        <f t="array" ref="BUQ3">_xlfn._xlws.FILTER(Rutas,_xlfn._xlws.FILTER($B$2:$B$10000,$B$2:$B$10000&lt;&gt;"")=VALUE(INDEX(IdClientes,MATCH(BUQ2,Clientes,0))))</f>
        <v>#VALUE!</v>
      </c>
      <c r="BUR3" s="28" t="e" cm="1" vm="1">
        <f t="array" ref="BUR3">_xlfn._xlws.FILTER(Rutas,_xlfn._xlws.FILTER($B$2:$B$10000,$B$2:$B$10000&lt;&gt;"")=VALUE(INDEX(IdClientes,MATCH(BUR2,Clientes,0))))</f>
        <v>#VALUE!</v>
      </c>
      <c r="BUS3" s="28" t="e" cm="1" vm="1">
        <f t="array" ref="BUS3">_xlfn._xlws.FILTER(Rutas,_xlfn._xlws.FILTER($B$2:$B$10000,$B$2:$B$10000&lt;&gt;"")=VALUE(INDEX(IdClientes,MATCH(BUS2,Clientes,0))))</f>
        <v>#VALUE!</v>
      </c>
      <c r="BUT3" s="28" t="e" cm="1" vm="1">
        <f t="array" ref="BUT3">_xlfn._xlws.FILTER(Rutas,_xlfn._xlws.FILTER($B$2:$B$10000,$B$2:$B$10000&lt;&gt;"")=VALUE(INDEX(IdClientes,MATCH(BUT2,Clientes,0))))</f>
        <v>#VALUE!</v>
      </c>
      <c r="BUU3" s="28" t="e" cm="1" vm="1">
        <f t="array" ref="BUU3">_xlfn._xlws.FILTER(Rutas,_xlfn._xlws.FILTER($B$2:$B$10000,$B$2:$B$10000&lt;&gt;"")=VALUE(INDEX(IdClientes,MATCH(BUU2,Clientes,0))))</f>
        <v>#VALUE!</v>
      </c>
      <c r="BUV3" s="28" t="e" cm="1" vm="1">
        <f t="array" ref="BUV3">_xlfn._xlws.FILTER(Rutas,_xlfn._xlws.FILTER($B$2:$B$10000,$B$2:$B$10000&lt;&gt;"")=VALUE(INDEX(IdClientes,MATCH(BUV2,Clientes,0))))</f>
        <v>#VALUE!</v>
      </c>
      <c r="BUW3" s="28" t="e" cm="1" vm="1">
        <f t="array" ref="BUW3">_xlfn._xlws.FILTER(Rutas,_xlfn._xlws.FILTER($B$2:$B$10000,$B$2:$B$10000&lt;&gt;"")=VALUE(INDEX(IdClientes,MATCH(BUW2,Clientes,0))))</f>
        <v>#VALUE!</v>
      </c>
      <c r="BUX3" s="28" t="e" cm="1" vm="1">
        <f t="array" ref="BUX3">_xlfn._xlws.FILTER(Rutas,_xlfn._xlws.FILTER($B$2:$B$10000,$B$2:$B$10000&lt;&gt;"")=VALUE(INDEX(IdClientes,MATCH(BUX2,Clientes,0))))</f>
        <v>#VALUE!</v>
      </c>
      <c r="BUY3" s="28" t="e" cm="1" vm="1">
        <f t="array" ref="BUY3">_xlfn._xlws.FILTER(Rutas,_xlfn._xlws.FILTER($B$2:$B$10000,$B$2:$B$10000&lt;&gt;"")=VALUE(INDEX(IdClientes,MATCH(BUY2,Clientes,0))))</f>
        <v>#VALUE!</v>
      </c>
      <c r="BUZ3" s="28" t="e" cm="1" vm="1">
        <f t="array" ref="BUZ3">_xlfn._xlws.FILTER(Rutas,_xlfn._xlws.FILTER($B$2:$B$10000,$B$2:$B$10000&lt;&gt;"")=VALUE(INDEX(IdClientes,MATCH(BUZ2,Clientes,0))))</f>
        <v>#VALUE!</v>
      </c>
      <c r="BVA3" s="28" t="e" cm="1" vm="1">
        <f t="array" ref="BVA3">_xlfn._xlws.FILTER(Rutas,_xlfn._xlws.FILTER($B$2:$B$10000,$B$2:$B$10000&lt;&gt;"")=VALUE(INDEX(IdClientes,MATCH(BVA2,Clientes,0))))</f>
        <v>#VALUE!</v>
      </c>
      <c r="BVB3" s="28" t="e" cm="1" vm="1">
        <f t="array" ref="BVB3">_xlfn._xlws.FILTER(Rutas,_xlfn._xlws.FILTER($B$2:$B$10000,$B$2:$B$10000&lt;&gt;"")=VALUE(INDEX(IdClientes,MATCH(BVB2,Clientes,0))))</f>
        <v>#VALUE!</v>
      </c>
      <c r="BVC3" s="28" t="e" cm="1" vm="1">
        <f t="array" ref="BVC3">_xlfn._xlws.FILTER(Rutas,_xlfn._xlws.FILTER($B$2:$B$10000,$B$2:$B$10000&lt;&gt;"")=VALUE(INDEX(IdClientes,MATCH(BVC2,Clientes,0))))</f>
        <v>#VALUE!</v>
      </c>
      <c r="BVD3" s="28" t="e" cm="1" vm="1">
        <f t="array" ref="BVD3">_xlfn._xlws.FILTER(Rutas,_xlfn._xlws.FILTER($B$2:$B$10000,$B$2:$B$10000&lt;&gt;"")=VALUE(INDEX(IdClientes,MATCH(BVD2,Clientes,0))))</f>
        <v>#VALUE!</v>
      </c>
      <c r="BVE3" s="28" t="e" cm="1" vm="1">
        <f t="array" ref="BVE3">_xlfn._xlws.FILTER(Rutas,_xlfn._xlws.FILTER($B$2:$B$10000,$B$2:$B$10000&lt;&gt;"")=VALUE(INDEX(IdClientes,MATCH(BVE2,Clientes,0))))</f>
        <v>#VALUE!</v>
      </c>
      <c r="BVF3" s="28" t="e" cm="1" vm="1">
        <f t="array" ref="BVF3">_xlfn._xlws.FILTER(Rutas,_xlfn._xlws.FILTER($B$2:$B$10000,$B$2:$B$10000&lt;&gt;"")=VALUE(INDEX(IdClientes,MATCH(BVF2,Clientes,0))))</f>
        <v>#VALUE!</v>
      </c>
      <c r="BVG3" s="28" t="e" cm="1" vm="1">
        <f t="array" ref="BVG3">_xlfn._xlws.FILTER(Rutas,_xlfn._xlws.FILTER($B$2:$B$10000,$B$2:$B$10000&lt;&gt;"")=VALUE(INDEX(IdClientes,MATCH(BVG2,Clientes,0))))</f>
        <v>#VALUE!</v>
      </c>
      <c r="BVH3" s="28" t="e" cm="1" vm="1">
        <f t="array" ref="BVH3">_xlfn._xlws.FILTER(Rutas,_xlfn._xlws.FILTER($B$2:$B$10000,$B$2:$B$10000&lt;&gt;"")=VALUE(INDEX(IdClientes,MATCH(BVH2,Clientes,0))))</f>
        <v>#VALUE!</v>
      </c>
      <c r="BVI3" s="28" t="e" cm="1" vm="1">
        <f t="array" ref="BVI3">_xlfn._xlws.FILTER(Rutas,_xlfn._xlws.FILTER($B$2:$B$10000,$B$2:$B$10000&lt;&gt;"")=VALUE(INDEX(IdClientes,MATCH(BVI2,Clientes,0))))</f>
        <v>#VALUE!</v>
      </c>
      <c r="BVJ3" s="28" t="e" cm="1" vm="1">
        <f t="array" ref="BVJ3">_xlfn._xlws.FILTER(Rutas,_xlfn._xlws.FILTER($B$2:$B$10000,$B$2:$B$10000&lt;&gt;"")=VALUE(INDEX(IdClientes,MATCH(BVJ2,Clientes,0))))</f>
        <v>#VALUE!</v>
      </c>
      <c r="BVK3" s="28" t="e" cm="1" vm="1">
        <f t="array" ref="BVK3">_xlfn._xlws.FILTER(Rutas,_xlfn._xlws.FILTER($B$2:$B$10000,$B$2:$B$10000&lt;&gt;"")=VALUE(INDEX(IdClientes,MATCH(BVK2,Clientes,0))))</f>
        <v>#VALUE!</v>
      </c>
      <c r="BVL3" s="28" t="e" cm="1" vm="1">
        <f t="array" ref="BVL3">_xlfn._xlws.FILTER(Rutas,_xlfn._xlws.FILTER($B$2:$B$10000,$B$2:$B$10000&lt;&gt;"")=VALUE(INDEX(IdClientes,MATCH(BVL2,Clientes,0))))</f>
        <v>#VALUE!</v>
      </c>
      <c r="BVM3" s="28" t="e" cm="1" vm="1">
        <f t="array" ref="BVM3">_xlfn._xlws.FILTER(Rutas,_xlfn._xlws.FILTER($B$2:$B$10000,$B$2:$B$10000&lt;&gt;"")=VALUE(INDEX(IdClientes,MATCH(BVM2,Clientes,0))))</f>
        <v>#VALUE!</v>
      </c>
      <c r="BVN3" s="28" t="e" cm="1" vm="1">
        <f t="array" ref="BVN3">_xlfn._xlws.FILTER(Rutas,_xlfn._xlws.FILTER($B$2:$B$10000,$B$2:$B$10000&lt;&gt;"")=VALUE(INDEX(IdClientes,MATCH(BVN2,Clientes,0))))</f>
        <v>#VALUE!</v>
      </c>
      <c r="BVO3" s="28" t="e" cm="1" vm="1">
        <f t="array" ref="BVO3">_xlfn._xlws.FILTER(Rutas,_xlfn._xlws.FILTER($B$2:$B$10000,$B$2:$B$10000&lt;&gt;"")=VALUE(INDEX(IdClientes,MATCH(BVO2,Clientes,0))))</f>
        <v>#VALUE!</v>
      </c>
      <c r="BVP3" s="28" t="e" cm="1" vm="1">
        <f t="array" ref="BVP3">_xlfn._xlws.FILTER(Rutas,_xlfn._xlws.FILTER($B$2:$B$10000,$B$2:$B$10000&lt;&gt;"")=VALUE(INDEX(IdClientes,MATCH(BVP2,Clientes,0))))</f>
        <v>#VALUE!</v>
      </c>
      <c r="BVQ3" s="28" t="e" cm="1" vm="1">
        <f t="array" ref="BVQ3">_xlfn._xlws.FILTER(Rutas,_xlfn._xlws.FILTER($B$2:$B$10000,$B$2:$B$10000&lt;&gt;"")=VALUE(INDEX(IdClientes,MATCH(BVQ2,Clientes,0))))</f>
        <v>#VALUE!</v>
      </c>
      <c r="BVR3" s="28" t="e" cm="1" vm="1">
        <f t="array" ref="BVR3">_xlfn._xlws.FILTER(Rutas,_xlfn._xlws.FILTER($B$2:$B$10000,$B$2:$B$10000&lt;&gt;"")=VALUE(INDEX(IdClientes,MATCH(BVR2,Clientes,0))))</f>
        <v>#VALUE!</v>
      </c>
      <c r="BVS3" s="28" t="e" cm="1" vm="1">
        <f t="array" ref="BVS3">_xlfn._xlws.FILTER(Rutas,_xlfn._xlws.FILTER($B$2:$B$10000,$B$2:$B$10000&lt;&gt;"")=VALUE(INDEX(IdClientes,MATCH(BVS2,Clientes,0))))</f>
        <v>#VALUE!</v>
      </c>
      <c r="BVT3" s="28" t="e" cm="1" vm="1">
        <f t="array" ref="BVT3">_xlfn._xlws.FILTER(Rutas,_xlfn._xlws.FILTER($B$2:$B$10000,$B$2:$B$10000&lt;&gt;"")=VALUE(INDEX(IdClientes,MATCH(BVT2,Clientes,0))))</f>
        <v>#VALUE!</v>
      </c>
      <c r="BVU3" s="28" t="e" cm="1" vm="1">
        <f t="array" ref="BVU3">_xlfn._xlws.FILTER(Rutas,_xlfn._xlws.FILTER($B$2:$B$10000,$B$2:$B$10000&lt;&gt;"")=VALUE(INDEX(IdClientes,MATCH(BVU2,Clientes,0))))</f>
        <v>#VALUE!</v>
      </c>
      <c r="BVV3" s="28" t="e" cm="1" vm="1">
        <f t="array" ref="BVV3">_xlfn._xlws.FILTER(Rutas,_xlfn._xlws.FILTER($B$2:$B$10000,$B$2:$B$10000&lt;&gt;"")=VALUE(INDEX(IdClientes,MATCH(BVV2,Clientes,0))))</f>
        <v>#VALUE!</v>
      </c>
      <c r="BVW3" s="28" t="e" cm="1" vm="1">
        <f t="array" ref="BVW3">_xlfn._xlws.FILTER(Rutas,_xlfn._xlws.FILTER($B$2:$B$10000,$B$2:$B$10000&lt;&gt;"")=VALUE(INDEX(IdClientes,MATCH(BVW2,Clientes,0))))</f>
        <v>#VALUE!</v>
      </c>
      <c r="BVX3" s="28" t="e" cm="1" vm="1">
        <f t="array" ref="BVX3">_xlfn._xlws.FILTER(Rutas,_xlfn._xlws.FILTER($B$2:$B$10000,$B$2:$B$10000&lt;&gt;"")=VALUE(INDEX(IdClientes,MATCH(BVX2,Clientes,0))))</f>
        <v>#VALUE!</v>
      </c>
      <c r="BVY3" s="28" t="e" cm="1" vm="1">
        <f t="array" ref="BVY3">_xlfn._xlws.FILTER(Rutas,_xlfn._xlws.FILTER($B$2:$B$10000,$B$2:$B$10000&lt;&gt;"")=VALUE(INDEX(IdClientes,MATCH(BVY2,Clientes,0))))</f>
        <v>#VALUE!</v>
      </c>
      <c r="BVZ3" s="28" t="e" cm="1" vm="1">
        <f t="array" ref="BVZ3">_xlfn._xlws.FILTER(Rutas,_xlfn._xlws.FILTER($B$2:$B$10000,$B$2:$B$10000&lt;&gt;"")=VALUE(INDEX(IdClientes,MATCH(BVZ2,Clientes,0))))</f>
        <v>#VALUE!</v>
      </c>
      <c r="BWA3" s="28" t="e" cm="1" vm="1">
        <f t="array" ref="BWA3">_xlfn._xlws.FILTER(Rutas,_xlfn._xlws.FILTER($B$2:$B$10000,$B$2:$B$10000&lt;&gt;"")=VALUE(INDEX(IdClientes,MATCH(BWA2,Clientes,0))))</f>
        <v>#VALUE!</v>
      </c>
      <c r="BWB3" s="28" t="e" cm="1" vm="1">
        <f t="array" ref="BWB3">_xlfn._xlws.FILTER(Rutas,_xlfn._xlws.FILTER($B$2:$B$10000,$B$2:$B$10000&lt;&gt;"")=VALUE(INDEX(IdClientes,MATCH(BWB2,Clientes,0))))</f>
        <v>#VALUE!</v>
      </c>
      <c r="BWC3" s="28" t="e" cm="1" vm="1">
        <f t="array" ref="BWC3">_xlfn._xlws.FILTER(Rutas,_xlfn._xlws.FILTER($B$2:$B$10000,$B$2:$B$10000&lt;&gt;"")=VALUE(INDEX(IdClientes,MATCH(BWC2,Clientes,0))))</f>
        <v>#VALUE!</v>
      </c>
      <c r="BWD3" s="28" t="e" cm="1" vm="1">
        <f t="array" ref="BWD3">_xlfn._xlws.FILTER(Rutas,_xlfn._xlws.FILTER($B$2:$B$10000,$B$2:$B$10000&lt;&gt;"")=VALUE(INDEX(IdClientes,MATCH(BWD2,Clientes,0))))</f>
        <v>#VALUE!</v>
      </c>
      <c r="BWE3" s="28" t="e" cm="1" vm="1">
        <f t="array" ref="BWE3">_xlfn._xlws.FILTER(Rutas,_xlfn._xlws.FILTER($B$2:$B$10000,$B$2:$B$10000&lt;&gt;"")=VALUE(INDEX(IdClientes,MATCH(BWE2,Clientes,0))))</f>
        <v>#VALUE!</v>
      </c>
      <c r="BWF3" s="28" t="e" cm="1" vm="1">
        <f t="array" ref="BWF3">_xlfn._xlws.FILTER(Rutas,_xlfn._xlws.FILTER($B$2:$B$10000,$B$2:$B$10000&lt;&gt;"")=VALUE(INDEX(IdClientes,MATCH(BWF2,Clientes,0))))</f>
        <v>#VALUE!</v>
      </c>
      <c r="BWG3" s="28" t="e" cm="1" vm="1">
        <f t="array" ref="BWG3">_xlfn._xlws.FILTER(Rutas,_xlfn._xlws.FILTER($B$2:$B$10000,$B$2:$B$10000&lt;&gt;"")=VALUE(INDEX(IdClientes,MATCH(BWG2,Clientes,0))))</f>
        <v>#VALUE!</v>
      </c>
      <c r="BWH3" s="28" t="e" cm="1" vm="1">
        <f t="array" ref="BWH3">_xlfn._xlws.FILTER(Rutas,_xlfn._xlws.FILTER($B$2:$B$10000,$B$2:$B$10000&lt;&gt;"")=VALUE(INDEX(IdClientes,MATCH(BWH2,Clientes,0))))</f>
        <v>#VALUE!</v>
      </c>
      <c r="BWI3" s="28" t="e" cm="1" vm="1">
        <f t="array" ref="BWI3">_xlfn._xlws.FILTER(Rutas,_xlfn._xlws.FILTER($B$2:$B$10000,$B$2:$B$10000&lt;&gt;"")=VALUE(INDEX(IdClientes,MATCH(BWI2,Clientes,0))))</f>
        <v>#VALUE!</v>
      </c>
      <c r="BWJ3" s="28" t="e" cm="1" vm="1">
        <f t="array" ref="BWJ3">_xlfn._xlws.FILTER(Rutas,_xlfn._xlws.FILTER($B$2:$B$10000,$B$2:$B$10000&lt;&gt;"")=VALUE(INDEX(IdClientes,MATCH(BWJ2,Clientes,0))))</f>
        <v>#VALUE!</v>
      </c>
      <c r="BWK3" s="28" t="e" cm="1" vm="1">
        <f t="array" ref="BWK3">_xlfn._xlws.FILTER(Rutas,_xlfn._xlws.FILTER($B$2:$B$10000,$B$2:$B$10000&lt;&gt;"")=VALUE(INDEX(IdClientes,MATCH(BWK2,Clientes,0))))</f>
        <v>#VALUE!</v>
      </c>
      <c r="BWL3" s="28" t="e" cm="1" vm="1">
        <f t="array" ref="BWL3">_xlfn._xlws.FILTER(Rutas,_xlfn._xlws.FILTER($B$2:$B$10000,$B$2:$B$10000&lt;&gt;"")=VALUE(INDEX(IdClientes,MATCH(BWL2,Clientes,0))))</f>
        <v>#VALUE!</v>
      </c>
      <c r="BWM3" s="28" t="e" cm="1" vm="1">
        <f t="array" ref="BWM3">_xlfn._xlws.FILTER(Rutas,_xlfn._xlws.FILTER($B$2:$B$10000,$B$2:$B$10000&lt;&gt;"")=VALUE(INDEX(IdClientes,MATCH(BWM2,Clientes,0))))</f>
        <v>#VALUE!</v>
      </c>
      <c r="BWN3" s="28" t="e" cm="1" vm="1">
        <f t="array" ref="BWN3">_xlfn._xlws.FILTER(Rutas,_xlfn._xlws.FILTER($B$2:$B$10000,$B$2:$B$10000&lt;&gt;"")=VALUE(INDEX(IdClientes,MATCH(BWN2,Clientes,0))))</f>
        <v>#VALUE!</v>
      </c>
      <c r="BWO3" s="28" t="e" cm="1" vm="1">
        <f t="array" ref="BWO3">_xlfn._xlws.FILTER(Rutas,_xlfn._xlws.FILTER($B$2:$B$10000,$B$2:$B$10000&lt;&gt;"")=VALUE(INDEX(IdClientes,MATCH(BWO2,Clientes,0))))</f>
        <v>#VALUE!</v>
      </c>
      <c r="BWP3" s="28" t="e" cm="1" vm="1">
        <f t="array" ref="BWP3">_xlfn._xlws.FILTER(Rutas,_xlfn._xlws.FILTER($B$2:$B$10000,$B$2:$B$10000&lt;&gt;"")=VALUE(INDEX(IdClientes,MATCH(BWP2,Clientes,0))))</f>
        <v>#VALUE!</v>
      </c>
      <c r="BWQ3" s="28" t="e" cm="1" vm="1">
        <f t="array" ref="BWQ3">_xlfn._xlws.FILTER(Rutas,_xlfn._xlws.FILTER($B$2:$B$10000,$B$2:$B$10000&lt;&gt;"")=VALUE(INDEX(IdClientes,MATCH(BWQ2,Clientes,0))))</f>
        <v>#VALUE!</v>
      </c>
      <c r="BWR3" s="28" t="e" cm="1" vm="1">
        <f t="array" ref="BWR3">_xlfn._xlws.FILTER(Rutas,_xlfn._xlws.FILTER($B$2:$B$10000,$B$2:$B$10000&lt;&gt;"")=VALUE(INDEX(IdClientes,MATCH(BWR2,Clientes,0))))</f>
        <v>#VALUE!</v>
      </c>
      <c r="BWS3" s="28" t="e" cm="1" vm="1">
        <f t="array" ref="BWS3">_xlfn._xlws.FILTER(Rutas,_xlfn._xlws.FILTER($B$2:$B$10000,$B$2:$B$10000&lt;&gt;"")=VALUE(INDEX(IdClientes,MATCH(BWS2,Clientes,0))))</f>
        <v>#VALUE!</v>
      </c>
      <c r="BWT3" s="28" t="e" cm="1" vm="1">
        <f t="array" ref="BWT3">_xlfn._xlws.FILTER(Rutas,_xlfn._xlws.FILTER($B$2:$B$10000,$B$2:$B$10000&lt;&gt;"")=VALUE(INDEX(IdClientes,MATCH(BWT2,Clientes,0))))</f>
        <v>#VALUE!</v>
      </c>
      <c r="BWU3" s="28" t="e" cm="1" vm="1">
        <f t="array" ref="BWU3">_xlfn._xlws.FILTER(Rutas,_xlfn._xlws.FILTER($B$2:$B$10000,$B$2:$B$10000&lt;&gt;"")=VALUE(INDEX(IdClientes,MATCH(BWU2,Clientes,0))))</f>
        <v>#VALUE!</v>
      </c>
      <c r="BWV3" s="28" t="e" cm="1" vm="1">
        <f t="array" ref="BWV3">_xlfn._xlws.FILTER(Rutas,_xlfn._xlws.FILTER($B$2:$B$10000,$B$2:$B$10000&lt;&gt;"")=VALUE(INDEX(IdClientes,MATCH(BWV2,Clientes,0))))</f>
        <v>#VALUE!</v>
      </c>
      <c r="BWW3" s="28" t="e" cm="1" vm="1">
        <f t="array" ref="BWW3">_xlfn._xlws.FILTER(Rutas,_xlfn._xlws.FILTER($B$2:$B$10000,$B$2:$B$10000&lt;&gt;"")=VALUE(INDEX(IdClientes,MATCH(BWW2,Clientes,0))))</f>
        <v>#VALUE!</v>
      </c>
      <c r="BWX3" s="28" t="e" cm="1" vm="1">
        <f t="array" ref="BWX3">_xlfn._xlws.FILTER(Rutas,_xlfn._xlws.FILTER($B$2:$B$10000,$B$2:$B$10000&lt;&gt;"")=VALUE(INDEX(IdClientes,MATCH(BWX2,Clientes,0))))</f>
        <v>#VALUE!</v>
      </c>
      <c r="BWY3" s="28" t="e" cm="1" vm="1">
        <f t="array" ref="BWY3">_xlfn._xlws.FILTER(Rutas,_xlfn._xlws.FILTER($B$2:$B$10000,$B$2:$B$10000&lt;&gt;"")=VALUE(INDEX(IdClientes,MATCH(BWY2,Clientes,0))))</f>
        <v>#VALUE!</v>
      </c>
      <c r="BWZ3" s="28" t="e" cm="1" vm="1">
        <f t="array" ref="BWZ3">_xlfn._xlws.FILTER(Rutas,_xlfn._xlws.FILTER($B$2:$B$10000,$B$2:$B$10000&lt;&gt;"")=VALUE(INDEX(IdClientes,MATCH(BWZ2,Clientes,0))))</f>
        <v>#VALUE!</v>
      </c>
      <c r="BXA3" s="28" t="e" cm="1" vm="1">
        <f t="array" ref="BXA3">_xlfn._xlws.FILTER(Rutas,_xlfn._xlws.FILTER($B$2:$B$10000,$B$2:$B$10000&lt;&gt;"")=VALUE(INDEX(IdClientes,MATCH(BXA2,Clientes,0))))</f>
        <v>#VALUE!</v>
      </c>
      <c r="BXB3" s="28" t="e" cm="1" vm="1">
        <f t="array" ref="BXB3">_xlfn._xlws.FILTER(Rutas,_xlfn._xlws.FILTER($B$2:$B$10000,$B$2:$B$10000&lt;&gt;"")=VALUE(INDEX(IdClientes,MATCH(BXB2,Clientes,0))))</f>
        <v>#VALUE!</v>
      </c>
      <c r="BXC3" s="28" t="e" cm="1" vm="1">
        <f t="array" ref="BXC3">_xlfn._xlws.FILTER(Rutas,_xlfn._xlws.FILTER($B$2:$B$10000,$B$2:$B$10000&lt;&gt;"")=VALUE(INDEX(IdClientes,MATCH(BXC2,Clientes,0))))</f>
        <v>#VALUE!</v>
      </c>
      <c r="BXD3" s="28" t="e" cm="1" vm="1">
        <f t="array" ref="BXD3">_xlfn._xlws.FILTER(Rutas,_xlfn._xlws.FILTER($B$2:$B$10000,$B$2:$B$10000&lt;&gt;"")=VALUE(INDEX(IdClientes,MATCH(BXD2,Clientes,0))))</f>
        <v>#VALUE!</v>
      </c>
      <c r="BXE3" s="28" t="e" cm="1" vm="1">
        <f t="array" ref="BXE3">_xlfn._xlws.FILTER(Rutas,_xlfn._xlws.FILTER($B$2:$B$10000,$B$2:$B$10000&lt;&gt;"")=VALUE(INDEX(IdClientes,MATCH(BXE2,Clientes,0))))</f>
        <v>#VALUE!</v>
      </c>
      <c r="BXF3" s="28" t="e" cm="1" vm="1">
        <f t="array" ref="BXF3">_xlfn._xlws.FILTER(Rutas,_xlfn._xlws.FILTER($B$2:$B$10000,$B$2:$B$10000&lt;&gt;"")=VALUE(INDEX(IdClientes,MATCH(BXF2,Clientes,0))))</f>
        <v>#VALUE!</v>
      </c>
      <c r="BXG3" s="28" t="e" cm="1" vm="1">
        <f t="array" ref="BXG3">_xlfn._xlws.FILTER(Rutas,_xlfn._xlws.FILTER($B$2:$B$10000,$B$2:$B$10000&lt;&gt;"")=VALUE(INDEX(IdClientes,MATCH(BXG2,Clientes,0))))</f>
        <v>#VALUE!</v>
      </c>
      <c r="BXH3" s="28" t="e" cm="1" vm="1">
        <f t="array" ref="BXH3">_xlfn._xlws.FILTER(Rutas,_xlfn._xlws.FILTER($B$2:$B$10000,$B$2:$B$10000&lt;&gt;"")=VALUE(INDEX(IdClientes,MATCH(BXH2,Clientes,0))))</f>
        <v>#VALUE!</v>
      </c>
      <c r="BXI3" s="28" t="e" cm="1" vm="1">
        <f t="array" ref="BXI3">_xlfn._xlws.FILTER(Rutas,_xlfn._xlws.FILTER($B$2:$B$10000,$B$2:$B$10000&lt;&gt;"")=VALUE(INDEX(IdClientes,MATCH(BXI2,Clientes,0))))</f>
        <v>#VALUE!</v>
      </c>
      <c r="BXJ3" s="28" t="e" cm="1" vm="1">
        <f t="array" ref="BXJ3">_xlfn._xlws.FILTER(Rutas,_xlfn._xlws.FILTER($B$2:$B$10000,$B$2:$B$10000&lt;&gt;"")=VALUE(INDEX(IdClientes,MATCH(BXJ2,Clientes,0))))</f>
        <v>#VALUE!</v>
      </c>
      <c r="BXK3" s="28" t="e" cm="1" vm="1">
        <f t="array" ref="BXK3">_xlfn._xlws.FILTER(Rutas,_xlfn._xlws.FILTER($B$2:$B$10000,$B$2:$B$10000&lt;&gt;"")=VALUE(INDEX(IdClientes,MATCH(BXK2,Clientes,0))))</f>
        <v>#VALUE!</v>
      </c>
      <c r="BXL3" s="28" t="e" cm="1" vm="1">
        <f t="array" ref="BXL3">_xlfn._xlws.FILTER(Rutas,_xlfn._xlws.FILTER($B$2:$B$10000,$B$2:$B$10000&lt;&gt;"")=VALUE(INDEX(IdClientes,MATCH(BXL2,Clientes,0))))</f>
        <v>#VALUE!</v>
      </c>
      <c r="BXM3" s="28" t="e" cm="1" vm="1">
        <f t="array" ref="BXM3">_xlfn._xlws.FILTER(Rutas,_xlfn._xlws.FILTER($B$2:$B$10000,$B$2:$B$10000&lt;&gt;"")=VALUE(INDEX(IdClientes,MATCH(BXM2,Clientes,0))))</f>
        <v>#VALUE!</v>
      </c>
      <c r="BXN3" s="28" t="e" cm="1" vm="1">
        <f t="array" ref="BXN3">_xlfn._xlws.FILTER(Rutas,_xlfn._xlws.FILTER($B$2:$B$10000,$B$2:$B$10000&lt;&gt;"")=VALUE(INDEX(IdClientes,MATCH(BXN2,Clientes,0))))</f>
        <v>#VALUE!</v>
      </c>
      <c r="BXO3" s="28" t="e" cm="1" vm="1">
        <f t="array" ref="BXO3">_xlfn._xlws.FILTER(Rutas,_xlfn._xlws.FILTER($B$2:$B$10000,$B$2:$B$10000&lt;&gt;"")=VALUE(INDEX(IdClientes,MATCH(BXO2,Clientes,0))))</f>
        <v>#VALUE!</v>
      </c>
      <c r="BXP3" s="28" t="e" cm="1" vm="1">
        <f t="array" ref="BXP3">_xlfn._xlws.FILTER(Rutas,_xlfn._xlws.FILTER($B$2:$B$10000,$B$2:$B$10000&lt;&gt;"")=VALUE(INDEX(IdClientes,MATCH(BXP2,Clientes,0))))</f>
        <v>#VALUE!</v>
      </c>
      <c r="BXQ3" s="28" t="e" cm="1" vm="1">
        <f t="array" ref="BXQ3">_xlfn._xlws.FILTER(Rutas,_xlfn._xlws.FILTER($B$2:$B$10000,$B$2:$B$10000&lt;&gt;"")=VALUE(INDEX(IdClientes,MATCH(BXQ2,Clientes,0))))</f>
        <v>#VALUE!</v>
      </c>
      <c r="BXR3" s="28" t="e" cm="1" vm="1">
        <f t="array" ref="BXR3">_xlfn._xlws.FILTER(Rutas,_xlfn._xlws.FILTER($B$2:$B$10000,$B$2:$B$10000&lt;&gt;"")=VALUE(INDEX(IdClientes,MATCH(BXR2,Clientes,0))))</f>
        <v>#VALUE!</v>
      </c>
      <c r="BXS3" s="28" t="e" cm="1" vm="1">
        <f t="array" ref="BXS3">_xlfn._xlws.FILTER(Rutas,_xlfn._xlws.FILTER($B$2:$B$10000,$B$2:$B$10000&lt;&gt;"")=VALUE(INDEX(IdClientes,MATCH(BXS2,Clientes,0))))</f>
        <v>#VALUE!</v>
      </c>
      <c r="BXT3" s="28" t="e" cm="1" vm="1">
        <f t="array" ref="BXT3">_xlfn._xlws.FILTER(Rutas,_xlfn._xlws.FILTER($B$2:$B$10000,$B$2:$B$10000&lt;&gt;"")=VALUE(INDEX(IdClientes,MATCH(BXT2,Clientes,0))))</f>
        <v>#VALUE!</v>
      </c>
      <c r="BXU3" s="28" t="e" cm="1" vm="1">
        <f t="array" ref="BXU3">_xlfn._xlws.FILTER(Rutas,_xlfn._xlws.FILTER($B$2:$B$10000,$B$2:$B$10000&lt;&gt;"")=VALUE(INDEX(IdClientes,MATCH(BXU2,Clientes,0))))</f>
        <v>#VALUE!</v>
      </c>
      <c r="BXV3" s="28" t="e" cm="1" vm="1">
        <f t="array" ref="BXV3">_xlfn._xlws.FILTER(Rutas,_xlfn._xlws.FILTER($B$2:$B$10000,$B$2:$B$10000&lt;&gt;"")=VALUE(INDEX(IdClientes,MATCH(BXV2,Clientes,0))))</f>
        <v>#VALUE!</v>
      </c>
      <c r="BXW3" s="28" t="e" cm="1" vm="1">
        <f t="array" ref="BXW3">_xlfn._xlws.FILTER(Rutas,_xlfn._xlws.FILTER($B$2:$B$10000,$B$2:$B$10000&lt;&gt;"")=VALUE(INDEX(IdClientes,MATCH(BXW2,Clientes,0))))</f>
        <v>#VALUE!</v>
      </c>
      <c r="BXX3" s="28" t="e" cm="1" vm="1">
        <f t="array" ref="BXX3">_xlfn._xlws.FILTER(Rutas,_xlfn._xlws.FILTER($B$2:$B$10000,$B$2:$B$10000&lt;&gt;"")=VALUE(INDEX(IdClientes,MATCH(BXX2,Clientes,0))))</f>
        <v>#VALUE!</v>
      </c>
      <c r="BXY3" s="28" t="e" cm="1" vm="1">
        <f t="array" ref="BXY3">_xlfn._xlws.FILTER(Rutas,_xlfn._xlws.FILTER($B$2:$B$10000,$B$2:$B$10000&lt;&gt;"")=VALUE(INDEX(IdClientes,MATCH(BXY2,Clientes,0))))</f>
        <v>#VALUE!</v>
      </c>
      <c r="BXZ3" s="28" t="e" cm="1" vm="1">
        <f t="array" ref="BXZ3">_xlfn._xlws.FILTER(Rutas,_xlfn._xlws.FILTER($B$2:$B$10000,$B$2:$B$10000&lt;&gt;"")=VALUE(INDEX(IdClientes,MATCH(BXZ2,Clientes,0))))</f>
        <v>#VALUE!</v>
      </c>
      <c r="BYA3" s="28" t="e" cm="1" vm="1">
        <f t="array" ref="BYA3">_xlfn._xlws.FILTER(Rutas,_xlfn._xlws.FILTER($B$2:$B$10000,$B$2:$B$10000&lt;&gt;"")=VALUE(INDEX(IdClientes,MATCH(BYA2,Clientes,0))))</f>
        <v>#VALUE!</v>
      </c>
      <c r="BYB3" s="28" t="e" cm="1" vm="1">
        <f t="array" ref="BYB3">_xlfn._xlws.FILTER(Rutas,_xlfn._xlws.FILTER($B$2:$B$10000,$B$2:$B$10000&lt;&gt;"")=VALUE(INDEX(IdClientes,MATCH(BYB2,Clientes,0))))</f>
        <v>#VALUE!</v>
      </c>
      <c r="BYC3" s="28" t="e" cm="1" vm="1">
        <f t="array" ref="BYC3">_xlfn._xlws.FILTER(Rutas,_xlfn._xlws.FILTER($B$2:$B$10000,$B$2:$B$10000&lt;&gt;"")=VALUE(INDEX(IdClientes,MATCH(BYC2,Clientes,0))))</f>
        <v>#VALUE!</v>
      </c>
      <c r="BYD3" s="28" t="e" cm="1" vm="1">
        <f t="array" ref="BYD3">_xlfn._xlws.FILTER(Rutas,_xlfn._xlws.FILTER($B$2:$B$10000,$B$2:$B$10000&lt;&gt;"")=VALUE(INDEX(IdClientes,MATCH(BYD2,Clientes,0))))</f>
        <v>#VALUE!</v>
      </c>
      <c r="BYE3" s="28" t="e" cm="1" vm="1">
        <f t="array" ref="BYE3">_xlfn._xlws.FILTER(Rutas,_xlfn._xlws.FILTER($B$2:$B$10000,$B$2:$B$10000&lt;&gt;"")=VALUE(INDEX(IdClientes,MATCH(BYE2,Clientes,0))))</f>
        <v>#VALUE!</v>
      </c>
      <c r="BYF3" s="28" t="e" cm="1" vm="1">
        <f t="array" ref="BYF3">_xlfn._xlws.FILTER(Rutas,_xlfn._xlws.FILTER($B$2:$B$10000,$B$2:$B$10000&lt;&gt;"")=VALUE(INDEX(IdClientes,MATCH(BYF2,Clientes,0))))</f>
        <v>#VALUE!</v>
      </c>
      <c r="BYG3" s="28" t="e" cm="1" vm="1">
        <f t="array" ref="BYG3">_xlfn._xlws.FILTER(Rutas,_xlfn._xlws.FILTER($B$2:$B$10000,$B$2:$B$10000&lt;&gt;"")=VALUE(INDEX(IdClientes,MATCH(BYG2,Clientes,0))))</f>
        <v>#VALUE!</v>
      </c>
      <c r="BYH3" s="28" t="e" cm="1" vm="1">
        <f t="array" ref="BYH3">_xlfn._xlws.FILTER(Rutas,_xlfn._xlws.FILTER($B$2:$B$10000,$B$2:$B$10000&lt;&gt;"")=VALUE(INDEX(IdClientes,MATCH(BYH2,Clientes,0))))</f>
        <v>#VALUE!</v>
      </c>
      <c r="BYI3" s="28" t="e" cm="1" vm="1">
        <f t="array" ref="BYI3">_xlfn._xlws.FILTER(Rutas,_xlfn._xlws.FILTER($B$2:$B$10000,$B$2:$B$10000&lt;&gt;"")=VALUE(INDEX(IdClientes,MATCH(BYI2,Clientes,0))))</f>
        <v>#VALUE!</v>
      </c>
      <c r="BYJ3" s="28" t="e" cm="1" vm="1">
        <f t="array" ref="BYJ3">_xlfn._xlws.FILTER(Rutas,_xlfn._xlws.FILTER($B$2:$B$10000,$B$2:$B$10000&lt;&gt;"")=VALUE(INDEX(IdClientes,MATCH(BYJ2,Clientes,0))))</f>
        <v>#VALUE!</v>
      </c>
      <c r="BYK3" s="28" t="e" cm="1" vm="1">
        <f t="array" ref="BYK3">_xlfn._xlws.FILTER(Rutas,_xlfn._xlws.FILTER($B$2:$B$10000,$B$2:$B$10000&lt;&gt;"")=VALUE(INDEX(IdClientes,MATCH(BYK2,Clientes,0))))</f>
        <v>#VALUE!</v>
      </c>
      <c r="BYL3" s="28" t="e" cm="1" vm="1">
        <f t="array" ref="BYL3">_xlfn._xlws.FILTER(Rutas,_xlfn._xlws.FILTER($B$2:$B$10000,$B$2:$B$10000&lt;&gt;"")=VALUE(INDEX(IdClientes,MATCH(BYL2,Clientes,0))))</f>
        <v>#VALUE!</v>
      </c>
      <c r="BYM3" s="28" t="e" cm="1" vm="1">
        <f t="array" ref="BYM3">_xlfn._xlws.FILTER(Rutas,_xlfn._xlws.FILTER($B$2:$B$10000,$B$2:$B$10000&lt;&gt;"")=VALUE(INDEX(IdClientes,MATCH(BYM2,Clientes,0))))</f>
        <v>#VALUE!</v>
      </c>
      <c r="BYN3" s="28" t="e" cm="1" vm="1">
        <f t="array" ref="BYN3">_xlfn._xlws.FILTER(Rutas,_xlfn._xlws.FILTER($B$2:$B$10000,$B$2:$B$10000&lt;&gt;"")=VALUE(INDEX(IdClientes,MATCH(BYN2,Clientes,0))))</f>
        <v>#VALUE!</v>
      </c>
      <c r="BYO3" s="28" t="e" cm="1" vm="1">
        <f t="array" ref="BYO3">_xlfn._xlws.FILTER(Rutas,_xlfn._xlws.FILTER($B$2:$B$10000,$B$2:$B$10000&lt;&gt;"")=VALUE(INDEX(IdClientes,MATCH(BYO2,Clientes,0))))</f>
        <v>#VALUE!</v>
      </c>
      <c r="BYP3" s="28" t="e" cm="1" vm="1">
        <f t="array" ref="BYP3">_xlfn._xlws.FILTER(Rutas,_xlfn._xlws.FILTER($B$2:$B$10000,$B$2:$B$10000&lt;&gt;"")=VALUE(INDEX(IdClientes,MATCH(BYP2,Clientes,0))))</f>
        <v>#VALUE!</v>
      </c>
      <c r="BYQ3" s="28" t="e" cm="1" vm="1">
        <f t="array" ref="BYQ3">_xlfn._xlws.FILTER(Rutas,_xlfn._xlws.FILTER($B$2:$B$10000,$B$2:$B$10000&lt;&gt;"")=VALUE(INDEX(IdClientes,MATCH(BYQ2,Clientes,0))))</f>
        <v>#VALUE!</v>
      </c>
      <c r="BYR3" s="28" t="e" cm="1" vm="1">
        <f t="array" ref="BYR3">_xlfn._xlws.FILTER(Rutas,_xlfn._xlws.FILTER($B$2:$B$10000,$B$2:$B$10000&lt;&gt;"")=VALUE(INDEX(IdClientes,MATCH(BYR2,Clientes,0))))</f>
        <v>#VALUE!</v>
      </c>
      <c r="BYS3" s="28" t="e" cm="1" vm="1">
        <f t="array" ref="BYS3">_xlfn._xlws.FILTER(Rutas,_xlfn._xlws.FILTER($B$2:$B$10000,$B$2:$B$10000&lt;&gt;"")=VALUE(INDEX(IdClientes,MATCH(BYS2,Clientes,0))))</f>
        <v>#VALUE!</v>
      </c>
      <c r="BYT3" s="28" t="e" cm="1" vm="1">
        <f t="array" ref="BYT3">_xlfn._xlws.FILTER(Rutas,_xlfn._xlws.FILTER($B$2:$B$10000,$B$2:$B$10000&lt;&gt;"")=VALUE(INDEX(IdClientes,MATCH(BYT2,Clientes,0))))</f>
        <v>#VALUE!</v>
      </c>
      <c r="BYU3" s="28" t="e" cm="1" vm="1">
        <f t="array" ref="BYU3">_xlfn._xlws.FILTER(Rutas,_xlfn._xlws.FILTER($B$2:$B$10000,$B$2:$B$10000&lt;&gt;"")=VALUE(INDEX(IdClientes,MATCH(BYU2,Clientes,0))))</f>
        <v>#VALUE!</v>
      </c>
      <c r="BYV3" s="28" t="e" cm="1" vm="1">
        <f t="array" ref="BYV3">_xlfn._xlws.FILTER(Rutas,_xlfn._xlws.FILTER($B$2:$B$10000,$B$2:$B$10000&lt;&gt;"")=VALUE(INDEX(IdClientes,MATCH(BYV2,Clientes,0))))</f>
        <v>#VALUE!</v>
      </c>
      <c r="BYW3" s="28" t="e" cm="1" vm="1">
        <f t="array" ref="BYW3">_xlfn._xlws.FILTER(Rutas,_xlfn._xlws.FILTER($B$2:$B$10000,$B$2:$B$10000&lt;&gt;"")=VALUE(INDEX(IdClientes,MATCH(BYW2,Clientes,0))))</f>
        <v>#VALUE!</v>
      </c>
      <c r="BYX3" s="28" t="e" cm="1" vm="1">
        <f t="array" ref="BYX3">_xlfn._xlws.FILTER(Rutas,_xlfn._xlws.FILTER($B$2:$B$10000,$B$2:$B$10000&lt;&gt;"")=VALUE(INDEX(IdClientes,MATCH(BYX2,Clientes,0))))</f>
        <v>#VALUE!</v>
      </c>
      <c r="BYY3" s="28" t="e" cm="1" vm="1">
        <f t="array" ref="BYY3">_xlfn._xlws.FILTER(Rutas,_xlfn._xlws.FILTER($B$2:$B$10000,$B$2:$B$10000&lt;&gt;"")=VALUE(INDEX(IdClientes,MATCH(BYY2,Clientes,0))))</f>
        <v>#VALUE!</v>
      </c>
      <c r="BYZ3" s="28" t="e" cm="1" vm="1">
        <f t="array" ref="BYZ3">_xlfn._xlws.FILTER(Rutas,_xlfn._xlws.FILTER($B$2:$B$10000,$B$2:$B$10000&lt;&gt;"")=VALUE(INDEX(IdClientes,MATCH(BYZ2,Clientes,0))))</f>
        <v>#VALUE!</v>
      </c>
      <c r="BZA3" s="28" t="e" cm="1" vm="1">
        <f t="array" ref="BZA3">_xlfn._xlws.FILTER(Rutas,_xlfn._xlws.FILTER($B$2:$B$10000,$B$2:$B$10000&lt;&gt;"")=VALUE(INDEX(IdClientes,MATCH(BZA2,Clientes,0))))</f>
        <v>#VALUE!</v>
      </c>
      <c r="BZB3" s="28" t="e" cm="1" vm="1">
        <f t="array" ref="BZB3">_xlfn._xlws.FILTER(Rutas,_xlfn._xlws.FILTER($B$2:$B$10000,$B$2:$B$10000&lt;&gt;"")=VALUE(INDEX(IdClientes,MATCH(BZB2,Clientes,0))))</f>
        <v>#VALUE!</v>
      </c>
      <c r="BZC3" s="28" t="e" cm="1" vm="1">
        <f t="array" ref="BZC3">_xlfn._xlws.FILTER(Rutas,_xlfn._xlws.FILTER($B$2:$B$10000,$B$2:$B$10000&lt;&gt;"")=VALUE(INDEX(IdClientes,MATCH(BZC2,Clientes,0))))</f>
        <v>#VALUE!</v>
      </c>
      <c r="BZD3" s="28" t="e" cm="1" vm="1">
        <f t="array" ref="BZD3">_xlfn._xlws.FILTER(Rutas,_xlfn._xlws.FILTER($B$2:$B$10000,$B$2:$B$10000&lt;&gt;"")=VALUE(INDEX(IdClientes,MATCH(BZD2,Clientes,0))))</f>
        <v>#VALUE!</v>
      </c>
      <c r="BZE3" s="28" t="e" cm="1" vm="1">
        <f t="array" ref="BZE3">_xlfn._xlws.FILTER(Rutas,_xlfn._xlws.FILTER($B$2:$B$10000,$B$2:$B$10000&lt;&gt;"")=VALUE(INDEX(IdClientes,MATCH(BZE2,Clientes,0))))</f>
        <v>#VALUE!</v>
      </c>
      <c r="BZF3" s="28" t="e" cm="1" vm="1">
        <f t="array" ref="BZF3">_xlfn._xlws.FILTER(Rutas,_xlfn._xlws.FILTER($B$2:$B$10000,$B$2:$B$10000&lt;&gt;"")=VALUE(INDEX(IdClientes,MATCH(BZF2,Clientes,0))))</f>
        <v>#VALUE!</v>
      </c>
      <c r="BZG3" s="28" t="e" cm="1" vm="1">
        <f t="array" ref="BZG3">_xlfn._xlws.FILTER(Rutas,_xlfn._xlws.FILTER($B$2:$B$10000,$B$2:$B$10000&lt;&gt;"")=VALUE(INDEX(IdClientes,MATCH(BZG2,Clientes,0))))</f>
        <v>#VALUE!</v>
      </c>
      <c r="BZH3" s="28" t="e" cm="1" vm="1">
        <f t="array" ref="BZH3">_xlfn._xlws.FILTER(Rutas,_xlfn._xlws.FILTER($B$2:$B$10000,$B$2:$B$10000&lt;&gt;"")=VALUE(INDEX(IdClientes,MATCH(BZH2,Clientes,0))))</f>
        <v>#VALUE!</v>
      </c>
      <c r="BZI3" s="28" t="e" cm="1" vm="1">
        <f t="array" ref="BZI3">_xlfn._xlws.FILTER(Rutas,_xlfn._xlws.FILTER($B$2:$B$10000,$B$2:$B$10000&lt;&gt;"")=VALUE(INDEX(IdClientes,MATCH(BZI2,Clientes,0))))</f>
        <v>#VALUE!</v>
      </c>
      <c r="BZJ3" s="28" t="e" cm="1" vm="1">
        <f t="array" ref="BZJ3">_xlfn._xlws.FILTER(Rutas,_xlfn._xlws.FILTER($B$2:$B$10000,$B$2:$B$10000&lt;&gt;"")=VALUE(INDEX(IdClientes,MATCH(BZJ2,Clientes,0))))</f>
        <v>#VALUE!</v>
      </c>
      <c r="BZK3" s="28" t="e" cm="1" vm="1">
        <f t="array" ref="BZK3">_xlfn._xlws.FILTER(Rutas,_xlfn._xlws.FILTER($B$2:$B$10000,$B$2:$B$10000&lt;&gt;"")=VALUE(INDEX(IdClientes,MATCH(BZK2,Clientes,0))))</f>
        <v>#VALUE!</v>
      </c>
      <c r="BZL3" s="28" t="e" cm="1" vm="1">
        <f t="array" ref="BZL3">_xlfn._xlws.FILTER(Rutas,_xlfn._xlws.FILTER($B$2:$B$10000,$B$2:$B$10000&lt;&gt;"")=VALUE(INDEX(IdClientes,MATCH(BZL2,Clientes,0))))</f>
        <v>#VALUE!</v>
      </c>
      <c r="BZM3" s="28" t="e" cm="1" vm="1">
        <f t="array" ref="BZM3">_xlfn._xlws.FILTER(Rutas,_xlfn._xlws.FILTER($B$2:$B$10000,$B$2:$B$10000&lt;&gt;"")=VALUE(INDEX(IdClientes,MATCH(BZM2,Clientes,0))))</f>
        <v>#VALUE!</v>
      </c>
      <c r="BZN3" s="28" t="e" cm="1" vm="1">
        <f t="array" ref="BZN3">_xlfn._xlws.FILTER(Rutas,_xlfn._xlws.FILTER($B$2:$B$10000,$B$2:$B$10000&lt;&gt;"")=VALUE(INDEX(IdClientes,MATCH(BZN2,Clientes,0))))</f>
        <v>#VALUE!</v>
      </c>
      <c r="BZO3" s="28" t="e" cm="1" vm="1">
        <f t="array" ref="BZO3">_xlfn._xlws.FILTER(Rutas,_xlfn._xlws.FILTER($B$2:$B$10000,$B$2:$B$10000&lt;&gt;"")=VALUE(INDEX(IdClientes,MATCH(BZO2,Clientes,0))))</f>
        <v>#VALUE!</v>
      </c>
      <c r="BZP3" s="28" t="e" cm="1" vm="1">
        <f t="array" ref="BZP3">_xlfn._xlws.FILTER(Rutas,_xlfn._xlws.FILTER($B$2:$B$10000,$B$2:$B$10000&lt;&gt;"")=VALUE(INDEX(IdClientes,MATCH(BZP2,Clientes,0))))</f>
        <v>#VALUE!</v>
      </c>
      <c r="BZQ3" s="28" t="e" cm="1" vm="1">
        <f t="array" ref="BZQ3">_xlfn._xlws.FILTER(Rutas,_xlfn._xlws.FILTER($B$2:$B$10000,$B$2:$B$10000&lt;&gt;"")=VALUE(INDEX(IdClientes,MATCH(BZQ2,Clientes,0))))</f>
        <v>#VALUE!</v>
      </c>
      <c r="BZR3" s="28" t="e" cm="1" vm="1">
        <f t="array" ref="BZR3">_xlfn._xlws.FILTER(Rutas,_xlfn._xlws.FILTER($B$2:$B$10000,$B$2:$B$10000&lt;&gt;"")=VALUE(INDEX(IdClientes,MATCH(BZR2,Clientes,0))))</f>
        <v>#VALUE!</v>
      </c>
      <c r="BZS3" s="28" t="e" cm="1" vm="1">
        <f t="array" ref="BZS3">_xlfn._xlws.FILTER(Rutas,_xlfn._xlws.FILTER($B$2:$B$10000,$B$2:$B$10000&lt;&gt;"")=VALUE(INDEX(IdClientes,MATCH(BZS2,Clientes,0))))</f>
        <v>#VALUE!</v>
      </c>
      <c r="BZT3" s="28" t="e" cm="1" vm="1">
        <f t="array" ref="BZT3">_xlfn._xlws.FILTER(Rutas,_xlfn._xlws.FILTER($B$2:$B$10000,$B$2:$B$10000&lt;&gt;"")=VALUE(INDEX(IdClientes,MATCH(BZT2,Clientes,0))))</f>
        <v>#VALUE!</v>
      </c>
      <c r="BZU3" s="28" t="e" cm="1" vm="1">
        <f t="array" ref="BZU3">_xlfn._xlws.FILTER(Rutas,_xlfn._xlws.FILTER($B$2:$B$10000,$B$2:$B$10000&lt;&gt;"")=VALUE(INDEX(IdClientes,MATCH(BZU2,Clientes,0))))</f>
        <v>#VALUE!</v>
      </c>
      <c r="BZV3" s="28" t="e" cm="1" vm="1">
        <f t="array" ref="BZV3">_xlfn._xlws.FILTER(Rutas,_xlfn._xlws.FILTER($B$2:$B$10000,$B$2:$B$10000&lt;&gt;"")=VALUE(INDEX(IdClientes,MATCH(BZV2,Clientes,0))))</f>
        <v>#VALUE!</v>
      </c>
      <c r="BZW3" s="28" t="e" cm="1" vm="1">
        <f t="array" ref="BZW3">_xlfn._xlws.FILTER(Rutas,_xlfn._xlws.FILTER($B$2:$B$10000,$B$2:$B$10000&lt;&gt;"")=VALUE(INDEX(IdClientes,MATCH(BZW2,Clientes,0))))</f>
        <v>#VALUE!</v>
      </c>
      <c r="BZX3" s="28" t="e" cm="1" vm="1">
        <f t="array" ref="BZX3">_xlfn._xlws.FILTER(Rutas,_xlfn._xlws.FILTER($B$2:$B$10000,$B$2:$B$10000&lt;&gt;"")=VALUE(INDEX(IdClientes,MATCH(BZX2,Clientes,0))))</f>
        <v>#VALUE!</v>
      </c>
      <c r="BZY3" s="28" t="e" cm="1" vm="1">
        <f t="array" ref="BZY3">_xlfn._xlws.FILTER(Rutas,_xlfn._xlws.FILTER($B$2:$B$10000,$B$2:$B$10000&lt;&gt;"")=VALUE(INDEX(IdClientes,MATCH(BZY2,Clientes,0))))</f>
        <v>#VALUE!</v>
      </c>
      <c r="BZZ3" s="28" t="e" cm="1" vm="1">
        <f t="array" ref="BZZ3">_xlfn._xlws.FILTER(Rutas,_xlfn._xlws.FILTER($B$2:$B$10000,$B$2:$B$10000&lt;&gt;"")=VALUE(INDEX(IdClientes,MATCH(BZZ2,Clientes,0))))</f>
        <v>#VALUE!</v>
      </c>
      <c r="CAA3" s="28" t="e" cm="1" vm="1">
        <f t="array" ref="CAA3">_xlfn._xlws.FILTER(Rutas,_xlfn._xlws.FILTER($B$2:$B$10000,$B$2:$B$10000&lt;&gt;"")=VALUE(INDEX(IdClientes,MATCH(CAA2,Clientes,0))))</f>
        <v>#VALUE!</v>
      </c>
      <c r="CAB3" s="28" t="e" cm="1" vm="1">
        <f t="array" ref="CAB3">_xlfn._xlws.FILTER(Rutas,_xlfn._xlws.FILTER($B$2:$B$10000,$B$2:$B$10000&lt;&gt;"")=VALUE(INDEX(IdClientes,MATCH(CAB2,Clientes,0))))</f>
        <v>#VALUE!</v>
      </c>
      <c r="CAC3" s="28" t="e" cm="1" vm="1">
        <f t="array" ref="CAC3">_xlfn._xlws.FILTER(Rutas,_xlfn._xlws.FILTER($B$2:$B$10000,$B$2:$B$10000&lt;&gt;"")=VALUE(INDEX(IdClientes,MATCH(CAC2,Clientes,0))))</f>
        <v>#VALUE!</v>
      </c>
      <c r="CAD3" s="28" t="e" cm="1" vm="1">
        <f t="array" ref="CAD3">_xlfn._xlws.FILTER(Rutas,_xlfn._xlws.FILTER($B$2:$B$10000,$B$2:$B$10000&lt;&gt;"")=VALUE(INDEX(IdClientes,MATCH(CAD2,Clientes,0))))</f>
        <v>#VALUE!</v>
      </c>
      <c r="CAE3" s="28" t="e" cm="1" vm="1">
        <f t="array" ref="CAE3">_xlfn._xlws.FILTER(Rutas,_xlfn._xlws.FILTER($B$2:$B$10000,$B$2:$B$10000&lt;&gt;"")=VALUE(INDEX(IdClientes,MATCH(CAE2,Clientes,0))))</f>
        <v>#VALUE!</v>
      </c>
      <c r="CAF3" s="28" t="e" cm="1" vm="1">
        <f t="array" ref="CAF3">_xlfn._xlws.FILTER(Rutas,_xlfn._xlws.FILTER($B$2:$B$10000,$B$2:$B$10000&lt;&gt;"")=VALUE(INDEX(IdClientes,MATCH(CAF2,Clientes,0))))</f>
        <v>#VALUE!</v>
      </c>
      <c r="CAG3" s="28" t="e" cm="1" vm="1">
        <f t="array" ref="CAG3">_xlfn._xlws.FILTER(Rutas,_xlfn._xlws.FILTER($B$2:$B$10000,$B$2:$B$10000&lt;&gt;"")=VALUE(INDEX(IdClientes,MATCH(CAG2,Clientes,0))))</f>
        <v>#VALUE!</v>
      </c>
      <c r="CAH3" s="28" t="e" cm="1" vm="1">
        <f t="array" ref="CAH3">_xlfn._xlws.FILTER(Rutas,_xlfn._xlws.FILTER($B$2:$B$10000,$B$2:$B$10000&lt;&gt;"")=VALUE(INDEX(IdClientes,MATCH(CAH2,Clientes,0))))</f>
        <v>#VALUE!</v>
      </c>
      <c r="CAI3" s="28" t="e" cm="1" vm="1">
        <f t="array" ref="CAI3">_xlfn._xlws.FILTER(Rutas,_xlfn._xlws.FILTER($B$2:$B$10000,$B$2:$B$10000&lt;&gt;"")=VALUE(INDEX(IdClientes,MATCH(CAI2,Clientes,0))))</f>
        <v>#VALUE!</v>
      </c>
      <c r="CAJ3" s="28" t="e" cm="1" vm="1">
        <f t="array" ref="CAJ3">_xlfn._xlws.FILTER(Rutas,_xlfn._xlws.FILTER($B$2:$B$10000,$B$2:$B$10000&lt;&gt;"")=VALUE(INDEX(IdClientes,MATCH(CAJ2,Clientes,0))))</f>
        <v>#VALUE!</v>
      </c>
      <c r="CAK3" s="28" t="e" cm="1" vm="1">
        <f t="array" ref="CAK3">_xlfn._xlws.FILTER(Rutas,_xlfn._xlws.FILTER($B$2:$B$10000,$B$2:$B$10000&lt;&gt;"")=VALUE(INDEX(IdClientes,MATCH(CAK2,Clientes,0))))</f>
        <v>#VALUE!</v>
      </c>
      <c r="CAL3" s="28" t="e" cm="1" vm="1">
        <f t="array" ref="CAL3">_xlfn._xlws.FILTER(Rutas,_xlfn._xlws.FILTER($B$2:$B$10000,$B$2:$B$10000&lt;&gt;"")=VALUE(INDEX(IdClientes,MATCH(CAL2,Clientes,0))))</f>
        <v>#VALUE!</v>
      </c>
      <c r="CAM3" s="28" t="e" cm="1" vm="1">
        <f t="array" ref="CAM3">_xlfn._xlws.FILTER(Rutas,_xlfn._xlws.FILTER($B$2:$B$10000,$B$2:$B$10000&lt;&gt;"")=VALUE(INDEX(IdClientes,MATCH(CAM2,Clientes,0))))</f>
        <v>#VALUE!</v>
      </c>
      <c r="CAN3" s="28" t="e" cm="1" vm="1">
        <f t="array" ref="CAN3">_xlfn._xlws.FILTER(Rutas,_xlfn._xlws.FILTER($B$2:$B$10000,$B$2:$B$10000&lt;&gt;"")=VALUE(INDEX(IdClientes,MATCH(CAN2,Clientes,0))))</f>
        <v>#VALUE!</v>
      </c>
      <c r="CAO3" s="28" t="e" cm="1" vm="1">
        <f t="array" ref="CAO3">_xlfn._xlws.FILTER(Rutas,_xlfn._xlws.FILTER($B$2:$B$10000,$B$2:$B$10000&lt;&gt;"")=VALUE(INDEX(IdClientes,MATCH(CAO2,Clientes,0))))</f>
        <v>#VALUE!</v>
      </c>
      <c r="CAP3" s="28" t="e" cm="1" vm="1">
        <f t="array" ref="CAP3">_xlfn._xlws.FILTER(Rutas,_xlfn._xlws.FILTER($B$2:$B$10000,$B$2:$B$10000&lt;&gt;"")=VALUE(INDEX(IdClientes,MATCH(CAP2,Clientes,0))))</f>
        <v>#VALUE!</v>
      </c>
      <c r="CAQ3" s="28" t="e" cm="1" vm="1">
        <f t="array" ref="CAQ3">_xlfn._xlws.FILTER(Rutas,_xlfn._xlws.FILTER($B$2:$B$10000,$B$2:$B$10000&lt;&gt;"")=VALUE(INDEX(IdClientes,MATCH(CAQ2,Clientes,0))))</f>
        <v>#VALUE!</v>
      </c>
      <c r="CAR3" s="28" t="e" cm="1" vm="1">
        <f t="array" ref="CAR3">_xlfn._xlws.FILTER(Rutas,_xlfn._xlws.FILTER($B$2:$B$10000,$B$2:$B$10000&lt;&gt;"")=VALUE(INDEX(IdClientes,MATCH(CAR2,Clientes,0))))</f>
        <v>#VALUE!</v>
      </c>
      <c r="CAS3" s="28" t="e" cm="1" vm="1">
        <f t="array" ref="CAS3">_xlfn._xlws.FILTER(Rutas,_xlfn._xlws.FILTER($B$2:$B$10000,$B$2:$B$10000&lt;&gt;"")=VALUE(INDEX(IdClientes,MATCH(CAS2,Clientes,0))))</f>
        <v>#VALUE!</v>
      </c>
      <c r="CAT3" s="28" t="e" cm="1" vm="1">
        <f t="array" ref="CAT3">_xlfn._xlws.FILTER(Rutas,_xlfn._xlws.FILTER($B$2:$B$10000,$B$2:$B$10000&lt;&gt;"")=VALUE(INDEX(IdClientes,MATCH(CAT2,Clientes,0))))</f>
        <v>#VALUE!</v>
      </c>
      <c r="CAU3" s="28" t="e" cm="1" vm="1">
        <f t="array" ref="CAU3">_xlfn._xlws.FILTER(Rutas,_xlfn._xlws.FILTER($B$2:$B$10000,$B$2:$B$10000&lt;&gt;"")=VALUE(INDEX(IdClientes,MATCH(CAU2,Clientes,0))))</f>
        <v>#VALUE!</v>
      </c>
      <c r="CAV3" s="28" t="e" cm="1" vm="1">
        <f t="array" ref="CAV3">_xlfn._xlws.FILTER(Rutas,_xlfn._xlws.FILTER($B$2:$B$10000,$B$2:$B$10000&lt;&gt;"")=VALUE(INDEX(IdClientes,MATCH(CAV2,Clientes,0))))</f>
        <v>#VALUE!</v>
      </c>
      <c r="CAW3" s="28" t="e" cm="1" vm="1">
        <f t="array" ref="CAW3">_xlfn._xlws.FILTER(Rutas,_xlfn._xlws.FILTER($B$2:$B$10000,$B$2:$B$10000&lt;&gt;"")=VALUE(INDEX(IdClientes,MATCH(CAW2,Clientes,0))))</f>
        <v>#VALUE!</v>
      </c>
      <c r="CAX3" s="28" t="e" cm="1" vm="1">
        <f t="array" ref="CAX3">_xlfn._xlws.FILTER(Rutas,_xlfn._xlws.FILTER($B$2:$B$10000,$B$2:$B$10000&lt;&gt;"")=VALUE(INDEX(IdClientes,MATCH(CAX2,Clientes,0))))</f>
        <v>#VALUE!</v>
      </c>
      <c r="CAY3" s="28" t="e" cm="1" vm="1">
        <f t="array" ref="CAY3">_xlfn._xlws.FILTER(Rutas,_xlfn._xlws.FILTER($B$2:$B$10000,$B$2:$B$10000&lt;&gt;"")=VALUE(INDEX(IdClientes,MATCH(CAY2,Clientes,0))))</f>
        <v>#VALUE!</v>
      </c>
      <c r="CAZ3" s="28" t="e" cm="1" vm="1">
        <f t="array" ref="CAZ3">_xlfn._xlws.FILTER(Rutas,_xlfn._xlws.FILTER($B$2:$B$10000,$B$2:$B$10000&lt;&gt;"")=VALUE(INDEX(IdClientes,MATCH(CAZ2,Clientes,0))))</f>
        <v>#VALUE!</v>
      </c>
      <c r="CBA3" s="28" t="e" cm="1" vm="1">
        <f t="array" ref="CBA3">_xlfn._xlws.FILTER(Rutas,_xlfn._xlws.FILTER($B$2:$B$10000,$B$2:$B$10000&lt;&gt;"")=VALUE(INDEX(IdClientes,MATCH(CBA2,Clientes,0))))</f>
        <v>#VALUE!</v>
      </c>
      <c r="CBB3" s="28" t="e" cm="1" vm="1">
        <f t="array" ref="CBB3">_xlfn._xlws.FILTER(Rutas,_xlfn._xlws.FILTER($B$2:$B$10000,$B$2:$B$10000&lt;&gt;"")=VALUE(INDEX(IdClientes,MATCH(CBB2,Clientes,0))))</f>
        <v>#VALUE!</v>
      </c>
      <c r="CBC3" s="28" t="e" cm="1" vm="1">
        <f t="array" ref="CBC3">_xlfn._xlws.FILTER(Rutas,_xlfn._xlws.FILTER($B$2:$B$10000,$B$2:$B$10000&lt;&gt;"")=VALUE(INDEX(IdClientes,MATCH(CBC2,Clientes,0))))</f>
        <v>#VALUE!</v>
      </c>
      <c r="CBD3" s="28" t="e" cm="1" vm="1">
        <f t="array" ref="CBD3">_xlfn._xlws.FILTER(Rutas,_xlfn._xlws.FILTER($B$2:$B$10000,$B$2:$B$10000&lt;&gt;"")=VALUE(INDEX(IdClientes,MATCH(CBD2,Clientes,0))))</f>
        <v>#VALUE!</v>
      </c>
      <c r="CBE3" s="28" t="e" cm="1" vm="1">
        <f t="array" ref="CBE3">_xlfn._xlws.FILTER(Rutas,_xlfn._xlws.FILTER($B$2:$B$10000,$B$2:$B$10000&lt;&gt;"")=VALUE(INDEX(IdClientes,MATCH(CBE2,Clientes,0))))</f>
        <v>#VALUE!</v>
      </c>
      <c r="CBF3" s="28" t="e" cm="1" vm="1">
        <f t="array" ref="CBF3">_xlfn._xlws.FILTER(Rutas,_xlfn._xlws.FILTER($B$2:$B$10000,$B$2:$B$10000&lt;&gt;"")=VALUE(INDEX(IdClientes,MATCH(CBF2,Clientes,0))))</f>
        <v>#VALUE!</v>
      </c>
      <c r="CBG3" s="28" t="e" cm="1" vm="1">
        <f t="array" ref="CBG3">_xlfn._xlws.FILTER(Rutas,_xlfn._xlws.FILTER($B$2:$B$10000,$B$2:$B$10000&lt;&gt;"")=VALUE(INDEX(IdClientes,MATCH(CBG2,Clientes,0))))</f>
        <v>#VALUE!</v>
      </c>
      <c r="CBH3" s="28" t="e" cm="1" vm="1">
        <f t="array" ref="CBH3">_xlfn._xlws.FILTER(Rutas,_xlfn._xlws.FILTER($B$2:$B$10000,$B$2:$B$10000&lt;&gt;"")=VALUE(INDEX(IdClientes,MATCH(CBH2,Clientes,0))))</f>
        <v>#VALUE!</v>
      </c>
      <c r="CBI3" s="28" t="e" cm="1" vm="1">
        <f t="array" ref="CBI3">_xlfn._xlws.FILTER(Rutas,_xlfn._xlws.FILTER($B$2:$B$10000,$B$2:$B$10000&lt;&gt;"")=VALUE(INDEX(IdClientes,MATCH(CBI2,Clientes,0))))</f>
        <v>#VALUE!</v>
      </c>
      <c r="CBJ3" s="28" t="e" cm="1" vm="1">
        <f t="array" ref="CBJ3">_xlfn._xlws.FILTER(Rutas,_xlfn._xlws.FILTER($B$2:$B$10000,$B$2:$B$10000&lt;&gt;"")=VALUE(INDEX(IdClientes,MATCH(CBJ2,Clientes,0))))</f>
        <v>#VALUE!</v>
      </c>
      <c r="CBK3" s="28" t="e" cm="1" vm="1">
        <f t="array" ref="CBK3">_xlfn._xlws.FILTER(Rutas,_xlfn._xlws.FILTER($B$2:$B$10000,$B$2:$B$10000&lt;&gt;"")=VALUE(INDEX(IdClientes,MATCH(CBK2,Clientes,0))))</f>
        <v>#VALUE!</v>
      </c>
      <c r="CBL3" s="28" t="e" cm="1" vm="1">
        <f t="array" ref="CBL3">_xlfn._xlws.FILTER(Rutas,_xlfn._xlws.FILTER($B$2:$B$10000,$B$2:$B$10000&lt;&gt;"")=VALUE(INDEX(IdClientes,MATCH(CBL2,Clientes,0))))</f>
        <v>#VALUE!</v>
      </c>
      <c r="CBM3" s="28" t="e" cm="1" vm="1">
        <f t="array" ref="CBM3">_xlfn._xlws.FILTER(Rutas,_xlfn._xlws.FILTER($B$2:$B$10000,$B$2:$B$10000&lt;&gt;"")=VALUE(INDEX(IdClientes,MATCH(CBM2,Clientes,0))))</f>
        <v>#VALUE!</v>
      </c>
      <c r="CBN3" s="28" t="e" cm="1" vm="1">
        <f t="array" ref="CBN3">_xlfn._xlws.FILTER(Rutas,_xlfn._xlws.FILTER($B$2:$B$10000,$B$2:$B$10000&lt;&gt;"")=VALUE(INDEX(IdClientes,MATCH(CBN2,Clientes,0))))</f>
        <v>#VALUE!</v>
      </c>
      <c r="CBO3" s="28" t="e" cm="1" vm="1">
        <f t="array" ref="CBO3">_xlfn._xlws.FILTER(Rutas,_xlfn._xlws.FILTER($B$2:$B$10000,$B$2:$B$10000&lt;&gt;"")=VALUE(INDEX(IdClientes,MATCH(CBO2,Clientes,0))))</f>
        <v>#VALUE!</v>
      </c>
      <c r="CBP3" s="28" t="e" cm="1" vm="1">
        <f t="array" ref="CBP3">_xlfn._xlws.FILTER(Rutas,_xlfn._xlws.FILTER($B$2:$B$10000,$B$2:$B$10000&lt;&gt;"")=VALUE(INDEX(IdClientes,MATCH(CBP2,Clientes,0))))</f>
        <v>#VALUE!</v>
      </c>
      <c r="CBQ3" s="28" t="e" cm="1" vm="1">
        <f t="array" ref="CBQ3">_xlfn._xlws.FILTER(Rutas,_xlfn._xlws.FILTER($B$2:$B$10000,$B$2:$B$10000&lt;&gt;"")=VALUE(INDEX(IdClientes,MATCH(CBQ2,Clientes,0))))</f>
        <v>#VALUE!</v>
      </c>
      <c r="CBR3" s="28" t="e" cm="1" vm="1">
        <f t="array" ref="CBR3">_xlfn._xlws.FILTER(Rutas,_xlfn._xlws.FILTER($B$2:$B$10000,$B$2:$B$10000&lt;&gt;"")=VALUE(INDEX(IdClientes,MATCH(CBR2,Clientes,0))))</f>
        <v>#VALUE!</v>
      </c>
      <c r="CBS3" s="28" t="e" cm="1" vm="1">
        <f t="array" ref="CBS3">_xlfn._xlws.FILTER(Rutas,_xlfn._xlws.FILTER($B$2:$B$10000,$B$2:$B$10000&lt;&gt;"")=VALUE(INDEX(IdClientes,MATCH(CBS2,Clientes,0))))</f>
        <v>#VALUE!</v>
      </c>
      <c r="CBT3" s="28" t="e" cm="1" vm="1">
        <f t="array" ref="CBT3">_xlfn._xlws.FILTER(Rutas,_xlfn._xlws.FILTER($B$2:$B$10000,$B$2:$B$10000&lt;&gt;"")=VALUE(INDEX(IdClientes,MATCH(CBT2,Clientes,0))))</f>
        <v>#VALUE!</v>
      </c>
      <c r="CBU3" s="28" t="e" cm="1" vm="1">
        <f t="array" ref="CBU3">_xlfn._xlws.FILTER(Rutas,_xlfn._xlws.FILTER($B$2:$B$10000,$B$2:$B$10000&lt;&gt;"")=VALUE(INDEX(IdClientes,MATCH(CBU2,Clientes,0))))</f>
        <v>#VALUE!</v>
      </c>
      <c r="CBV3" s="28" t="e" cm="1" vm="1">
        <f t="array" ref="CBV3">_xlfn._xlws.FILTER(Rutas,_xlfn._xlws.FILTER($B$2:$B$10000,$B$2:$B$10000&lt;&gt;"")=VALUE(INDEX(IdClientes,MATCH(CBV2,Clientes,0))))</f>
        <v>#VALUE!</v>
      </c>
      <c r="CBW3" s="28" t="e" cm="1" vm="1">
        <f t="array" ref="CBW3">_xlfn._xlws.FILTER(Rutas,_xlfn._xlws.FILTER($B$2:$B$10000,$B$2:$B$10000&lt;&gt;"")=VALUE(INDEX(IdClientes,MATCH(CBW2,Clientes,0))))</f>
        <v>#VALUE!</v>
      </c>
      <c r="CBX3" s="28" t="e" cm="1" vm="1">
        <f t="array" ref="CBX3">_xlfn._xlws.FILTER(Rutas,_xlfn._xlws.FILTER($B$2:$B$10000,$B$2:$B$10000&lt;&gt;"")=VALUE(INDEX(IdClientes,MATCH(CBX2,Clientes,0))))</f>
        <v>#VALUE!</v>
      </c>
      <c r="CBY3" s="28" t="e" cm="1" vm="1">
        <f t="array" ref="CBY3">_xlfn._xlws.FILTER(Rutas,_xlfn._xlws.FILTER($B$2:$B$10000,$B$2:$B$10000&lt;&gt;"")=VALUE(INDEX(IdClientes,MATCH(CBY2,Clientes,0))))</f>
        <v>#VALUE!</v>
      </c>
      <c r="CBZ3" s="28" t="e" cm="1" vm="1">
        <f t="array" ref="CBZ3">_xlfn._xlws.FILTER(Rutas,_xlfn._xlws.FILTER($B$2:$B$10000,$B$2:$B$10000&lt;&gt;"")=VALUE(INDEX(IdClientes,MATCH(CBZ2,Clientes,0))))</f>
        <v>#VALUE!</v>
      </c>
      <c r="CCA3" s="28" t="e" cm="1" vm="1">
        <f t="array" ref="CCA3">_xlfn._xlws.FILTER(Rutas,_xlfn._xlws.FILTER($B$2:$B$10000,$B$2:$B$10000&lt;&gt;"")=VALUE(INDEX(IdClientes,MATCH(CCA2,Clientes,0))))</f>
        <v>#VALUE!</v>
      </c>
      <c r="CCB3" s="28" t="e" cm="1" vm="1">
        <f t="array" ref="CCB3">_xlfn._xlws.FILTER(Rutas,_xlfn._xlws.FILTER($B$2:$B$10000,$B$2:$B$10000&lt;&gt;"")=VALUE(INDEX(IdClientes,MATCH(CCB2,Clientes,0))))</f>
        <v>#VALUE!</v>
      </c>
      <c r="CCC3" s="28" t="e" cm="1" vm="1">
        <f t="array" ref="CCC3">_xlfn._xlws.FILTER(Rutas,_xlfn._xlws.FILTER($B$2:$B$10000,$B$2:$B$10000&lt;&gt;"")=VALUE(INDEX(IdClientes,MATCH(CCC2,Clientes,0))))</f>
        <v>#VALUE!</v>
      </c>
      <c r="CCD3" s="28" t="e" cm="1" vm="1">
        <f t="array" ref="CCD3">_xlfn._xlws.FILTER(Rutas,_xlfn._xlws.FILTER($B$2:$B$10000,$B$2:$B$10000&lt;&gt;"")=VALUE(INDEX(IdClientes,MATCH(CCD2,Clientes,0))))</f>
        <v>#VALUE!</v>
      </c>
      <c r="CCE3" s="28" t="e" cm="1" vm="1">
        <f t="array" ref="CCE3">_xlfn._xlws.FILTER(Rutas,_xlfn._xlws.FILTER($B$2:$B$10000,$B$2:$B$10000&lt;&gt;"")=VALUE(INDEX(IdClientes,MATCH(CCE2,Clientes,0))))</f>
        <v>#VALUE!</v>
      </c>
      <c r="CCF3" s="28" t="e" cm="1" vm="1">
        <f t="array" ref="CCF3">_xlfn._xlws.FILTER(Rutas,_xlfn._xlws.FILTER($B$2:$B$10000,$B$2:$B$10000&lt;&gt;"")=VALUE(INDEX(IdClientes,MATCH(CCF2,Clientes,0))))</f>
        <v>#VALUE!</v>
      </c>
      <c r="CCG3" s="28" t="e" cm="1" vm="1">
        <f t="array" ref="CCG3">_xlfn._xlws.FILTER(Rutas,_xlfn._xlws.FILTER($B$2:$B$10000,$B$2:$B$10000&lt;&gt;"")=VALUE(INDEX(IdClientes,MATCH(CCG2,Clientes,0))))</f>
        <v>#VALUE!</v>
      </c>
      <c r="CCH3" s="28" t="e" cm="1" vm="1">
        <f t="array" ref="CCH3">_xlfn._xlws.FILTER(Rutas,_xlfn._xlws.FILTER($B$2:$B$10000,$B$2:$B$10000&lt;&gt;"")=VALUE(INDEX(IdClientes,MATCH(CCH2,Clientes,0))))</f>
        <v>#VALUE!</v>
      </c>
      <c r="CCI3" s="28" t="e" cm="1" vm="1">
        <f t="array" ref="CCI3">_xlfn._xlws.FILTER(Rutas,_xlfn._xlws.FILTER($B$2:$B$10000,$B$2:$B$10000&lt;&gt;"")=VALUE(INDEX(IdClientes,MATCH(CCI2,Clientes,0))))</f>
        <v>#VALUE!</v>
      </c>
      <c r="CCJ3" s="28" t="e" cm="1" vm="1">
        <f t="array" ref="CCJ3">_xlfn._xlws.FILTER(Rutas,_xlfn._xlws.FILTER($B$2:$B$10000,$B$2:$B$10000&lt;&gt;"")=VALUE(INDEX(IdClientes,MATCH(CCJ2,Clientes,0))))</f>
        <v>#VALUE!</v>
      </c>
      <c r="CCK3" s="28" t="e" cm="1" vm="1">
        <f t="array" ref="CCK3">_xlfn._xlws.FILTER(Rutas,_xlfn._xlws.FILTER($B$2:$B$10000,$B$2:$B$10000&lt;&gt;"")=VALUE(INDEX(IdClientes,MATCH(CCK2,Clientes,0))))</f>
        <v>#VALUE!</v>
      </c>
      <c r="CCL3" s="28" t="e" cm="1" vm="1">
        <f t="array" ref="CCL3">_xlfn._xlws.FILTER(Rutas,_xlfn._xlws.FILTER($B$2:$B$10000,$B$2:$B$10000&lt;&gt;"")=VALUE(INDEX(IdClientes,MATCH(CCL2,Clientes,0))))</f>
        <v>#VALUE!</v>
      </c>
      <c r="CCM3" s="28" t="e" cm="1" vm="1">
        <f t="array" ref="CCM3">_xlfn._xlws.FILTER(Rutas,_xlfn._xlws.FILTER($B$2:$B$10000,$B$2:$B$10000&lt;&gt;"")=VALUE(INDEX(IdClientes,MATCH(CCM2,Clientes,0))))</f>
        <v>#VALUE!</v>
      </c>
      <c r="CCN3" s="28" t="e" cm="1" vm="1">
        <f t="array" ref="CCN3">_xlfn._xlws.FILTER(Rutas,_xlfn._xlws.FILTER($B$2:$B$10000,$B$2:$B$10000&lt;&gt;"")=VALUE(INDEX(IdClientes,MATCH(CCN2,Clientes,0))))</f>
        <v>#VALUE!</v>
      </c>
      <c r="CCO3" s="28" t="e" cm="1" vm="1">
        <f t="array" ref="CCO3">_xlfn._xlws.FILTER(Rutas,_xlfn._xlws.FILTER($B$2:$B$10000,$B$2:$B$10000&lt;&gt;"")=VALUE(INDEX(IdClientes,MATCH(CCO2,Clientes,0))))</f>
        <v>#VALUE!</v>
      </c>
      <c r="CCP3" s="28" t="e" cm="1" vm="1">
        <f t="array" ref="CCP3">_xlfn._xlws.FILTER(Rutas,_xlfn._xlws.FILTER($B$2:$B$10000,$B$2:$B$10000&lt;&gt;"")=VALUE(INDEX(IdClientes,MATCH(CCP2,Clientes,0))))</f>
        <v>#VALUE!</v>
      </c>
      <c r="CCQ3" s="28" t="e" cm="1" vm="1">
        <f t="array" ref="CCQ3">_xlfn._xlws.FILTER(Rutas,_xlfn._xlws.FILTER($B$2:$B$10000,$B$2:$B$10000&lt;&gt;"")=VALUE(INDEX(IdClientes,MATCH(CCQ2,Clientes,0))))</f>
        <v>#VALUE!</v>
      </c>
      <c r="CCR3" s="28" t="e" cm="1" vm="1">
        <f t="array" ref="CCR3">_xlfn._xlws.FILTER(Rutas,_xlfn._xlws.FILTER($B$2:$B$10000,$B$2:$B$10000&lt;&gt;"")=VALUE(INDEX(IdClientes,MATCH(CCR2,Clientes,0))))</f>
        <v>#VALUE!</v>
      </c>
      <c r="CCS3" s="28" t="e" cm="1" vm="1">
        <f t="array" ref="CCS3">_xlfn._xlws.FILTER(Rutas,_xlfn._xlws.FILTER($B$2:$B$10000,$B$2:$B$10000&lt;&gt;"")=VALUE(INDEX(IdClientes,MATCH(CCS2,Clientes,0))))</f>
        <v>#VALUE!</v>
      </c>
      <c r="CCT3" s="28" t="e" cm="1" vm="1">
        <f t="array" ref="CCT3">_xlfn._xlws.FILTER(Rutas,_xlfn._xlws.FILTER($B$2:$B$10000,$B$2:$B$10000&lt;&gt;"")=VALUE(INDEX(IdClientes,MATCH(CCT2,Clientes,0))))</f>
        <v>#VALUE!</v>
      </c>
      <c r="CCU3" s="28" t="e" cm="1" vm="1">
        <f t="array" ref="CCU3">_xlfn._xlws.FILTER(Rutas,_xlfn._xlws.FILTER($B$2:$B$10000,$B$2:$B$10000&lt;&gt;"")=VALUE(INDEX(IdClientes,MATCH(CCU2,Clientes,0))))</f>
        <v>#VALUE!</v>
      </c>
      <c r="CCV3" s="28" t="e" cm="1" vm="1">
        <f t="array" ref="CCV3">_xlfn._xlws.FILTER(Rutas,_xlfn._xlws.FILTER($B$2:$B$10000,$B$2:$B$10000&lt;&gt;"")=VALUE(INDEX(IdClientes,MATCH(CCV2,Clientes,0))))</f>
        <v>#VALUE!</v>
      </c>
      <c r="CCW3" s="28" t="e" cm="1" vm="1">
        <f t="array" ref="CCW3">_xlfn._xlws.FILTER(Rutas,_xlfn._xlws.FILTER($B$2:$B$10000,$B$2:$B$10000&lt;&gt;"")=VALUE(INDEX(IdClientes,MATCH(CCW2,Clientes,0))))</f>
        <v>#VALUE!</v>
      </c>
      <c r="CCX3" s="28" t="e" cm="1" vm="1">
        <f t="array" ref="CCX3">_xlfn._xlws.FILTER(Rutas,_xlfn._xlws.FILTER($B$2:$B$10000,$B$2:$B$10000&lt;&gt;"")=VALUE(INDEX(IdClientes,MATCH(CCX2,Clientes,0))))</f>
        <v>#VALUE!</v>
      </c>
      <c r="CCY3" s="28" t="e" cm="1" vm="1">
        <f t="array" ref="CCY3">_xlfn._xlws.FILTER(Rutas,_xlfn._xlws.FILTER($B$2:$B$10000,$B$2:$B$10000&lt;&gt;"")=VALUE(INDEX(IdClientes,MATCH(CCY2,Clientes,0))))</f>
        <v>#VALUE!</v>
      </c>
      <c r="CCZ3" s="28" t="e" cm="1" vm="1">
        <f t="array" ref="CCZ3">_xlfn._xlws.FILTER(Rutas,_xlfn._xlws.FILTER($B$2:$B$10000,$B$2:$B$10000&lt;&gt;"")=VALUE(INDEX(IdClientes,MATCH(CCZ2,Clientes,0))))</f>
        <v>#VALUE!</v>
      </c>
      <c r="CDA3" s="28" t="e" cm="1" vm="1">
        <f t="array" ref="CDA3">_xlfn._xlws.FILTER(Rutas,_xlfn._xlws.FILTER($B$2:$B$10000,$B$2:$B$10000&lt;&gt;"")=VALUE(INDEX(IdClientes,MATCH(CDA2,Clientes,0))))</f>
        <v>#VALUE!</v>
      </c>
      <c r="CDB3" s="28" t="e" cm="1" vm="1">
        <f t="array" ref="CDB3">_xlfn._xlws.FILTER(Rutas,_xlfn._xlws.FILTER($B$2:$B$10000,$B$2:$B$10000&lt;&gt;"")=VALUE(INDEX(IdClientes,MATCH(CDB2,Clientes,0))))</f>
        <v>#VALUE!</v>
      </c>
      <c r="CDC3" s="28" t="e" cm="1" vm="1">
        <f t="array" ref="CDC3">_xlfn._xlws.FILTER(Rutas,_xlfn._xlws.FILTER($B$2:$B$10000,$B$2:$B$10000&lt;&gt;"")=VALUE(INDEX(IdClientes,MATCH(CDC2,Clientes,0))))</f>
        <v>#VALUE!</v>
      </c>
      <c r="CDD3" s="28" t="e" cm="1" vm="1">
        <f t="array" ref="CDD3">_xlfn._xlws.FILTER(Rutas,_xlfn._xlws.FILTER($B$2:$B$10000,$B$2:$B$10000&lt;&gt;"")=VALUE(INDEX(IdClientes,MATCH(CDD2,Clientes,0))))</f>
        <v>#VALUE!</v>
      </c>
      <c r="CDE3" s="28" t="e" cm="1" vm="1">
        <f t="array" ref="CDE3">_xlfn._xlws.FILTER(Rutas,_xlfn._xlws.FILTER($B$2:$B$10000,$B$2:$B$10000&lt;&gt;"")=VALUE(INDEX(IdClientes,MATCH(CDE2,Clientes,0))))</f>
        <v>#VALUE!</v>
      </c>
      <c r="CDF3" s="28" t="e" cm="1" vm="1">
        <f t="array" ref="CDF3">_xlfn._xlws.FILTER(Rutas,_xlfn._xlws.FILTER($B$2:$B$10000,$B$2:$B$10000&lt;&gt;"")=VALUE(INDEX(IdClientes,MATCH(CDF2,Clientes,0))))</f>
        <v>#VALUE!</v>
      </c>
      <c r="CDG3" s="28" t="e" cm="1" vm="1">
        <f t="array" ref="CDG3">_xlfn._xlws.FILTER(Rutas,_xlfn._xlws.FILTER($B$2:$B$10000,$B$2:$B$10000&lt;&gt;"")=VALUE(INDEX(IdClientes,MATCH(CDG2,Clientes,0))))</f>
        <v>#VALUE!</v>
      </c>
      <c r="CDH3" s="28" t="e" cm="1" vm="1">
        <f t="array" ref="CDH3">_xlfn._xlws.FILTER(Rutas,_xlfn._xlws.FILTER($B$2:$B$10000,$B$2:$B$10000&lt;&gt;"")=VALUE(INDEX(IdClientes,MATCH(CDH2,Clientes,0))))</f>
        <v>#VALUE!</v>
      </c>
      <c r="CDI3" s="28" t="e" cm="1" vm="1">
        <f t="array" ref="CDI3">_xlfn._xlws.FILTER(Rutas,_xlfn._xlws.FILTER($B$2:$B$10000,$B$2:$B$10000&lt;&gt;"")=VALUE(INDEX(IdClientes,MATCH(CDI2,Clientes,0))))</f>
        <v>#VALUE!</v>
      </c>
      <c r="CDJ3" s="28" t="e" cm="1" vm="1">
        <f t="array" ref="CDJ3">_xlfn._xlws.FILTER(Rutas,_xlfn._xlws.FILTER($B$2:$B$10000,$B$2:$B$10000&lt;&gt;"")=VALUE(INDEX(IdClientes,MATCH(CDJ2,Clientes,0))))</f>
        <v>#VALUE!</v>
      </c>
      <c r="CDK3" s="28" t="e" cm="1" vm="1">
        <f t="array" ref="CDK3">_xlfn._xlws.FILTER(Rutas,_xlfn._xlws.FILTER($B$2:$B$10000,$B$2:$B$10000&lt;&gt;"")=VALUE(INDEX(IdClientes,MATCH(CDK2,Clientes,0))))</f>
        <v>#VALUE!</v>
      </c>
      <c r="CDL3" s="28" t="e" cm="1" vm="1">
        <f t="array" ref="CDL3">_xlfn._xlws.FILTER(Rutas,_xlfn._xlws.FILTER($B$2:$B$10000,$B$2:$B$10000&lt;&gt;"")=VALUE(INDEX(IdClientes,MATCH(CDL2,Clientes,0))))</f>
        <v>#VALUE!</v>
      </c>
      <c r="CDM3" s="28" t="e" cm="1" vm="1">
        <f t="array" ref="CDM3">_xlfn._xlws.FILTER(Rutas,_xlfn._xlws.FILTER($B$2:$B$10000,$B$2:$B$10000&lt;&gt;"")=VALUE(INDEX(IdClientes,MATCH(CDM2,Clientes,0))))</f>
        <v>#VALUE!</v>
      </c>
      <c r="CDN3" s="28" t="e" cm="1" vm="1">
        <f t="array" ref="CDN3">_xlfn._xlws.FILTER(Rutas,_xlfn._xlws.FILTER($B$2:$B$10000,$B$2:$B$10000&lt;&gt;"")=VALUE(INDEX(IdClientes,MATCH(CDN2,Clientes,0))))</f>
        <v>#VALUE!</v>
      </c>
      <c r="CDO3" s="28" t="e" cm="1" vm="1">
        <f t="array" ref="CDO3">_xlfn._xlws.FILTER(Rutas,_xlfn._xlws.FILTER($B$2:$B$10000,$B$2:$B$10000&lt;&gt;"")=VALUE(INDEX(IdClientes,MATCH(CDO2,Clientes,0))))</f>
        <v>#VALUE!</v>
      </c>
      <c r="CDP3" s="28" t="e" cm="1" vm="1">
        <f t="array" ref="CDP3">_xlfn._xlws.FILTER(Rutas,_xlfn._xlws.FILTER($B$2:$B$10000,$B$2:$B$10000&lt;&gt;"")=VALUE(INDEX(IdClientes,MATCH(CDP2,Clientes,0))))</f>
        <v>#VALUE!</v>
      </c>
      <c r="CDQ3" s="28" t="e" cm="1" vm="1">
        <f t="array" ref="CDQ3">_xlfn._xlws.FILTER(Rutas,_xlfn._xlws.FILTER($B$2:$B$10000,$B$2:$B$10000&lt;&gt;"")=VALUE(INDEX(IdClientes,MATCH(CDQ2,Clientes,0))))</f>
        <v>#VALUE!</v>
      </c>
      <c r="CDR3" s="28" t="e" cm="1" vm="1">
        <f t="array" ref="CDR3">_xlfn._xlws.FILTER(Rutas,_xlfn._xlws.FILTER($B$2:$B$10000,$B$2:$B$10000&lt;&gt;"")=VALUE(INDEX(IdClientes,MATCH(CDR2,Clientes,0))))</f>
        <v>#VALUE!</v>
      </c>
      <c r="CDS3" s="28" t="e" cm="1" vm="1">
        <f t="array" ref="CDS3">_xlfn._xlws.FILTER(Rutas,_xlfn._xlws.FILTER($B$2:$B$10000,$B$2:$B$10000&lt;&gt;"")=VALUE(INDEX(IdClientes,MATCH(CDS2,Clientes,0))))</f>
        <v>#VALUE!</v>
      </c>
      <c r="CDT3" s="28" t="e" cm="1" vm="1">
        <f t="array" ref="CDT3">_xlfn._xlws.FILTER(Rutas,_xlfn._xlws.FILTER($B$2:$B$10000,$B$2:$B$10000&lt;&gt;"")=VALUE(INDEX(IdClientes,MATCH(CDT2,Clientes,0))))</f>
        <v>#VALUE!</v>
      </c>
      <c r="CDU3" s="28" t="e" cm="1" vm="1">
        <f t="array" ref="CDU3">_xlfn._xlws.FILTER(Rutas,_xlfn._xlws.FILTER($B$2:$B$10000,$B$2:$B$10000&lt;&gt;"")=VALUE(INDEX(IdClientes,MATCH(CDU2,Clientes,0))))</f>
        <v>#VALUE!</v>
      </c>
      <c r="CDV3" s="28" t="e" cm="1" vm="1">
        <f t="array" ref="CDV3">_xlfn._xlws.FILTER(Rutas,_xlfn._xlws.FILTER($B$2:$B$10000,$B$2:$B$10000&lt;&gt;"")=VALUE(INDEX(IdClientes,MATCH(CDV2,Clientes,0))))</f>
        <v>#VALUE!</v>
      </c>
      <c r="CDW3" s="28" t="e" cm="1" vm="1">
        <f t="array" ref="CDW3">_xlfn._xlws.FILTER(Rutas,_xlfn._xlws.FILTER($B$2:$B$10000,$B$2:$B$10000&lt;&gt;"")=VALUE(INDEX(IdClientes,MATCH(CDW2,Clientes,0))))</f>
        <v>#VALUE!</v>
      </c>
      <c r="CDX3" s="28" t="e" cm="1" vm="1">
        <f t="array" ref="CDX3">_xlfn._xlws.FILTER(Rutas,_xlfn._xlws.FILTER($B$2:$B$10000,$B$2:$B$10000&lt;&gt;"")=VALUE(INDEX(IdClientes,MATCH(CDX2,Clientes,0))))</f>
        <v>#VALUE!</v>
      </c>
      <c r="CDY3" s="28" t="e" cm="1" vm="1">
        <f t="array" ref="CDY3">_xlfn._xlws.FILTER(Rutas,_xlfn._xlws.FILTER($B$2:$B$10000,$B$2:$B$10000&lt;&gt;"")=VALUE(INDEX(IdClientes,MATCH(CDY2,Clientes,0))))</f>
        <v>#VALUE!</v>
      </c>
      <c r="CDZ3" s="28" t="e" cm="1" vm="1">
        <f t="array" ref="CDZ3">_xlfn._xlws.FILTER(Rutas,_xlfn._xlws.FILTER($B$2:$B$10000,$B$2:$B$10000&lt;&gt;"")=VALUE(INDEX(IdClientes,MATCH(CDZ2,Clientes,0))))</f>
        <v>#VALUE!</v>
      </c>
      <c r="CEA3" s="28" t="e" cm="1" vm="1">
        <f t="array" ref="CEA3">_xlfn._xlws.FILTER(Rutas,_xlfn._xlws.FILTER($B$2:$B$10000,$B$2:$B$10000&lt;&gt;"")=VALUE(INDEX(IdClientes,MATCH(CEA2,Clientes,0))))</f>
        <v>#VALUE!</v>
      </c>
      <c r="CEB3" s="28" t="e" cm="1" vm="1">
        <f t="array" ref="CEB3">_xlfn._xlws.FILTER(Rutas,_xlfn._xlws.FILTER($B$2:$B$10000,$B$2:$B$10000&lt;&gt;"")=VALUE(INDEX(IdClientes,MATCH(CEB2,Clientes,0))))</f>
        <v>#VALUE!</v>
      </c>
      <c r="CEC3" s="28" t="e" cm="1" vm="1">
        <f t="array" ref="CEC3">_xlfn._xlws.FILTER(Rutas,_xlfn._xlws.FILTER($B$2:$B$10000,$B$2:$B$10000&lt;&gt;"")=VALUE(INDEX(IdClientes,MATCH(CEC2,Clientes,0))))</f>
        <v>#VALUE!</v>
      </c>
      <c r="CED3" s="28" t="e" cm="1" vm="1">
        <f t="array" ref="CED3">_xlfn._xlws.FILTER(Rutas,_xlfn._xlws.FILTER($B$2:$B$10000,$B$2:$B$10000&lt;&gt;"")=VALUE(INDEX(IdClientes,MATCH(CED2,Clientes,0))))</f>
        <v>#VALUE!</v>
      </c>
      <c r="CEE3" s="28" t="e" cm="1" vm="1">
        <f t="array" ref="CEE3">_xlfn._xlws.FILTER(Rutas,_xlfn._xlws.FILTER($B$2:$B$10000,$B$2:$B$10000&lt;&gt;"")=VALUE(INDEX(IdClientes,MATCH(CEE2,Clientes,0))))</f>
        <v>#VALUE!</v>
      </c>
      <c r="CEF3" s="28" t="e" cm="1" vm="1">
        <f t="array" ref="CEF3">_xlfn._xlws.FILTER(Rutas,_xlfn._xlws.FILTER($B$2:$B$10000,$B$2:$B$10000&lt;&gt;"")=VALUE(INDEX(IdClientes,MATCH(CEF2,Clientes,0))))</f>
        <v>#VALUE!</v>
      </c>
      <c r="CEG3" s="28" t="e" cm="1" vm="1">
        <f t="array" ref="CEG3">_xlfn._xlws.FILTER(Rutas,_xlfn._xlws.FILTER($B$2:$B$10000,$B$2:$B$10000&lt;&gt;"")=VALUE(INDEX(IdClientes,MATCH(CEG2,Clientes,0))))</f>
        <v>#VALUE!</v>
      </c>
      <c r="CEH3" s="28" t="e" cm="1" vm="1">
        <f t="array" ref="CEH3">_xlfn._xlws.FILTER(Rutas,_xlfn._xlws.FILTER($B$2:$B$10000,$B$2:$B$10000&lt;&gt;"")=VALUE(INDEX(IdClientes,MATCH(CEH2,Clientes,0))))</f>
        <v>#VALUE!</v>
      </c>
      <c r="CEI3" s="28" t="e" cm="1" vm="1">
        <f t="array" ref="CEI3">_xlfn._xlws.FILTER(Rutas,_xlfn._xlws.FILTER($B$2:$B$10000,$B$2:$B$10000&lt;&gt;"")=VALUE(INDEX(IdClientes,MATCH(CEI2,Clientes,0))))</f>
        <v>#VALUE!</v>
      </c>
      <c r="CEJ3" s="28" t="e" cm="1" vm="1">
        <f t="array" ref="CEJ3">_xlfn._xlws.FILTER(Rutas,_xlfn._xlws.FILTER($B$2:$B$10000,$B$2:$B$10000&lt;&gt;"")=VALUE(INDEX(IdClientes,MATCH(CEJ2,Clientes,0))))</f>
        <v>#VALUE!</v>
      </c>
      <c r="CEK3" s="28" t="e" cm="1" vm="1">
        <f t="array" ref="CEK3">_xlfn._xlws.FILTER(Rutas,_xlfn._xlws.FILTER($B$2:$B$10000,$B$2:$B$10000&lt;&gt;"")=VALUE(INDEX(IdClientes,MATCH(CEK2,Clientes,0))))</f>
        <v>#VALUE!</v>
      </c>
      <c r="CEL3" s="28" t="e" cm="1" vm="1">
        <f t="array" ref="CEL3">_xlfn._xlws.FILTER(Rutas,_xlfn._xlws.FILTER($B$2:$B$10000,$B$2:$B$10000&lt;&gt;"")=VALUE(INDEX(IdClientes,MATCH(CEL2,Clientes,0))))</f>
        <v>#VALUE!</v>
      </c>
      <c r="CEM3" s="28" t="e" cm="1" vm="1">
        <f t="array" ref="CEM3">_xlfn._xlws.FILTER(Rutas,_xlfn._xlws.FILTER($B$2:$B$10000,$B$2:$B$10000&lt;&gt;"")=VALUE(INDEX(IdClientes,MATCH(CEM2,Clientes,0))))</f>
        <v>#VALUE!</v>
      </c>
      <c r="CEN3" s="28" t="e" cm="1" vm="1">
        <f t="array" ref="CEN3">_xlfn._xlws.FILTER(Rutas,_xlfn._xlws.FILTER($B$2:$B$10000,$B$2:$B$10000&lt;&gt;"")=VALUE(INDEX(IdClientes,MATCH(CEN2,Clientes,0))))</f>
        <v>#VALUE!</v>
      </c>
      <c r="CEO3" s="28" t="e" cm="1" vm="1">
        <f t="array" ref="CEO3">_xlfn._xlws.FILTER(Rutas,_xlfn._xlws.FILTER($B$2:$B$10000,$B$2:$B$10000&lt;&gt;"")=VALUE(INDEX(IdClientes,MATCH(CEO2,Clientes,0))))</f>
        <v>#VALUE!</v>
      </c>
      <c r="CEP3" s="28" t="e" cm="1" vm="1">
        <f t="array" ref="CEP3">_xlfn._xlws.FILTER(Rutas,_xlfn._xlws.FILTER($B$2:$B$10000,$B$2:$B$10000&lt;&gt;"")=VALUE(INDEX(IdClientes,MATCH(CEP2,Clientes,0))))</f>
        <v>#VALUE!</v>
      </c>
      <c r="CEQ3" s="28" t="e" cm="1" vm="1">
        <f t="array" ref="CEQ3">_xlfn._xlws.FILTER(Rutas,_xlfn._xlws.FILTER($B$2:$B$10000,$B$2:$B$10000&lt;&gt;"")=VALUE(INDEX(IdClientes,MATCH(CEQ2,Clientes,0))))</f>
        <v>#VALUE!</v>
      </c>
      <c r="CER3" s="28" t="e" cm="1" vm="1">
        <f t="array" ref="CER3">_xlfn._xlws.FILTER(Rutas,_xlfn._xlws.FILTER($B$2:$B$10000,$B$2:$B$10000&lt;&gt;"")=VALUE(INDEX(IdClientes,MATCH(CER2,Clientes,0))))</f>
        <v>#VALUE!</v>
      </c>
      <c r="CES3" s="28" t="e" cm="1" vm="1">
        <f t="array" ref="CES3">_xlfn._xlws.FILTER(Rutas,_xlfn._xlws.FILTER($B$2:$B$10000,$B$2:$B$10000&lt;&gt;"")=VALUE(INDEX(IdClientes,MATCH(CES2,Clientes,0))))</f>
        <v>#VALUE!</v>
      </c>
      <c r="CET3" s="28" t="e" cm="1" vm="1">
        <f t="array" ref="CET3">_xlfn._xlws.FILTER(Rutas,_xlfn._xlws.FILTER($B$2:$B$10000,$B$2:$B$10000&lt;&gt;"")=VALUE(INDEX(IdClientes,MATCH(CET2,Clientes,0))))</f>
        <v>#VALUE!</v>
      </c>
      <c r="CEU3" s="28" t="e" cm="1" vm="1">
        <f t="array" ref="CEU3">_xlfn._xlws.FILTER(Rutas,_xlfn._xlws.FILTER($B$2:$B$10000,$B$2:$B$10000&lt;&gt;"")=VALUE(INDEX(IdClientes,MATCH(CEU2,Clientes,0))))</f>
        <v>#VALUE!</v>
      </c>
      <c r="CEV3" s="28" t="e" cm="1" vm="1">
        <f t="array" ref="CEV3">_xlfn._xlws.FILTER(Rutas,_xlfn._xlws.FILTER($B$2:$B$10000,$B$2:$B$10000&lt;&gt;"")=VALUE(INDEX(IdClientes,MATCH(CEV2,Clientes,0))))</f>
        <v>#VALUE!</v>
      </c>
      <c r="CEW3" s="28" t="e" cm="1" vm="1">
        <f t="array" ref="CEW3">_xlfn._xlws.FILTER(Rutas,_xlfn._xlws.FILTER($B$2:$B$10000,$B$2:$B$10000&lt;&gt;"")=VALUE(INDEX(IdClientes,MATCH(CEW2,Clientes,0))))</f>
        <v>#VALUE!</v>
      </c>
      <c r="CEX3" s="28" t="e" cm="1" vm="1">
        <f t="array" ref="CEX3">_xlfn._xlws.FILTER(Rutas,_xlfn._xlws.FILTER($B$2:$B$10000,$B$2:$B$10000&lt;&gt;"")=VALUE(INDEX(IdClientes,MATCH(CEX2,Clientes,0))))</f>
        <v>#VALUE!</v>
      </c>
      <c r="CEY3" s="28" t="e" cm="1" vm="1">
        <f t="array" ref="CEY3">_xlfn._xlws.FILTER(Rutas,_xlfn._xlws.FILTER($B$2:$B$10000,$B$2:$B$10000&lt;&gt;"")=VALUE(INDEX(IdClientes,MATCH(CEY2,Clientes,0))))</f>
        <v>#VALUE!</v>
      </c>
      <c r="CEZ3" s="28" t="e" cm="1" vm="1">
        <f t="array" ref="CEZ3">_xlfn._xlws.FILTER(Rutas,_xlfn._xlws.FILTER($B$2:$B$10000,$B$2:$B$10000&lt;&gt;"")=VALUE(INDEX(IdClientes,MATCH(CEZ2,Clientes,0))))</f>
        <v>#VALUE!</v>
      </c>
      <c r="CFA3" s="28" t="e" cm="1" vm="1">
        <f t="array" ref="CFA3">_xlfn._xlws.FILTER(Rutas,_xlfn._xlws.FILTER($B$2:$B$10000,$B$2:$B$10000&lt;&gt;"")=VALUE(INDEX(IdClientes,MATCH(CFA2,Clientes,0))))</f>
        <v>#VALUE!</v>
      </c>
      <c r="CFB3" s="28" t="e" cm="1" vm="1">
        <f t="array" ref="CFB3">_xlfn._xlws.FILTER(Rutas,_xlfn._xlws.FILTER($B$2:$B$10000,$B$2:$B$10000&lt;&gt;"")=VALUE(INDEX(IdClientes,MATCH(CFB2,Clientes,0))))</f>
        <v>#VALUE!</v>
      </c>
      <c r="CFC3" s="28" t="e" cm="1" vm="1">
        <f t="array" ref="CFC3">_xlfn._xlws.FILTER(Rutas,_xlfn._xlws.FILTER($B$2:$B$10000,$B$2:$B$10000&lt;&gt;"")=VALUE(INDEX(IdClientes,MATCH(CFC2,Clientes,0))))</f>
        <v>#VALUE!</v>
      </c>
      <c r="CFD3" s="28" t="e" cm="1" vm="1">
        <f t="array" ref="CFD3">_xlfn._xlws.FILTER(Rutas,_xlfn._xlws.FILTER($B$2:$B$10000,$B$2:$B$10000&lt;&gt;"")=VALUE(INDEX(IdClientes,MATCH(CFD2,Clientes,0))))</f>
        <v>#VALUE!</v>
      </c>
      <c r="CFE3" s="28" t="e" cm="1" vm="1">
        <f t="array" ref="CFE3">_xlfn._xlws.FILTER(Rutas,_xlfn._xlws.FILTER($B$2:$B$10000,$B$2:$B$10000&lt;&gt;"")=VALUE(INDEX(IdClientes,MATCH(CFE2,Clientes,0))))</f>
        <v>#VALUE!</v>
      </c>
      <c r="CFF3" s="28" t="e" cm="1" vm="1">
        <f t="array" ref="CFF3">_xlfn._xlws.FILTER(Rutas,_xlfn._xlws.FILTER($B$2:$B$10000,$B$2:$B$10000&lt;&gt;"")=VALUE(INDEX(IdClientes,MATCH(CFF2,Clientes,0))))</f>
        <v>#VALUE!</v>
      </c>
      <c r="CFG3" s="28" t="e" cm="1" vm="1">
        <f t="array" ref="CFG3">_xlfn._xlws.FILTER(Rutas,_xlfn._xlws.FILTER($B$2:$B$10000,$B$2:$B$10000&lt;&gt;"")=VALUE(INDEX(IdClientes,MATCH(CFG2,Clientes,0))))</f>
        <v>#VALUE!</v>
      </c>
      <c r="CFH3" s="28" t="e" cm="1" vm="1">
        <f t="array" ref="CFH3">_xlfn._xlws.FILTER(Rutas,_xlfn._xlws.FILTER($B$2:$B$10000,$B$2:$B$10000&lt;&gt;"")=VALUE(INDEX(IdClientes,MATCH(CFH2,Clientes,0))))</f>
        <v>#VALUE!</v>
      </c>
      <c r="CFI3" s="28" t="e" cm="1" vm="1">
        <f t="array" ref="CFI3">_xlfn._xlws.FILTER(Rutas,_xlfn._xlws.FILTER($B$2:$B$10000,$B$2:$B$10000&lt;&gt;"")=VALUE(INDEX(IdClientes,MATCH(CFI2,Clientes,0))))</f>
        <v>#VALUE!</v>
      </c>
      <c r="CFJ3" s="28" t="e" cm="1" vm="1">
        <f t="array" ref="CFJ3">_xlfn._xlws.FILTER(Rutas,_xlfn._xlws.FILTER($B$2:$B$10000,$B$2:$B$10000&lt;&gt;"")=VALUE(INDEX(IdClientes,MATCH(CFJ2,Clientes,0))))</f>
        <v>#VALUE!</v>
      </c>
      <c r="CFK3" s="28" t="e" cm="1" vm="1">
        <f t="array" ref="CFK3">_xlfn._xlws.FILTER(Rutas,_xlfn._xlws.FILTER($B$2:$B$10000,$B$2:$B$10000&lt;&gt;"")=VALUE(INDEX(IdClientes,MATCH(CFK2,Clientes,0))))</f>
        <v>#VALUE!</v>
      </c>
      <c r="CFL3" s="28" t="e" cm="1" vm="1">
        <f t="array" ref="CFL3">_xlfn._xlws.FILTER(Rutas,_xlfn._xlws.FILTER($B$2:$B$10000,$B$2:$B$10000&lt;&gt;"")=VALUE(INDEX(IdClientes,MATCH(CFL2,Clientes,0))))</f>
        <v>#VALUE!</v>
      </c>
      <c r="CFM3" s="28" t="e" cm="1" vm="1">
        <f t="array" ref="CFM3">_xlfn._xlws.FILTER(Rutas,_xlfn._xlws.FILTER($B$2:$B$10000,$B$2:$B$10000&lt;&gt;"")=VALUE(INDEX(IdClientes,MATCH(CFM2,Clientes,0))))</f>
        <v>#VALUE!</v>
      </c>
      <c r="CFN3" s="28" t="e" cm="1" vm="1">
        <f t="array" ref="CFN3">_xlfn._xlws.FILTER(Rutas,_xlfn._xlws.FILTER($B$2:$B$10000,$B$2:$B$10000&lt;&gt;"")=VALUE(INDEX(IdClientes,MATCH(CFN2,Clientes,0))))</f>
        <v>#VALUE!</v>
      </c>
      <c r="CFO3" s="28" t="e" cm="1" vm="1">
        <f t="array" ref="CFO3">_xlfn._xlws.FILTER(Rutas,_xlfn._xlws.FILTER($B$2:$B$10000,$B$2:$B$10000&lt;&gt;"")=VALUE(INDEX(IdClientes,MATCH(CFO2,Clientes,0))))</f>
        <v>#VALUE!</v>
      </c>
      <c r="CFP3" s="28" t="e" cm="1" vm="1">
        <f t="array" ref="CFP3">_xlfn._xlws.FILTER(Rutas,_xlfn._xlws.FILTER($B$2:$B$10000,$B$2:$B$10000&lt;&gt;"")=VALUE(INDEX(IdClientes,MATCH(CFP2,Clientes,0))))</f>
        <v>#VALUE!</v>
      </c>
      <c r="CFQ3" s="28" t="e" cm="1" vm="1">
        <f t="array" ref="CFQ3">_xlfn._xlws.FILTER(Rutas,_xlfn._xlws.FILTER($B$2:$B$10000,$B$2:$B$10000&lt;&gt;"")=VALUE(INDEX(IdClientes,MATCH(CFQ2,Clientes,0))))</f>
        <v>#VALUE!</v>
      </c>
      <c r="CFR3" s="28" t="e" cm="1" vm="1">
        <f t="array" ref="CFR3">_xlfn._xlws.FILTER(Rutas,_xlfn._xlws.FILTER($B$2:$B$10000,$B$2:$B$10000&lt;&gt;"")=VALUE(INDEX(IdClientes,MATCH(CFR2,Clientes,0))))</f>
        <v>#VALUE!</v>
      </c>
      <c r="CFS3" s="28" t="e" cm="1" vm="1">
        <f t="array" ref="CFS3">_xlfn._xlws.FILTER(Rutas,_xlfn._xlws.FILTER($B$2:$B$10000,$B$2:$B$10000&lt;&gt;"")=VALUE(INDEX(IdClientes,MATCH(CFS2,Clientes,0))))</f>
        <v>#VALUE!</v>
      </c>
      <c r="CFT3" s="28" t="e" cm="1" vm="1">
        <f t="array" ref="CFT3">_xlfn._xlws.FILTER(Rutas,_xlfn._xlws.FILTER($B$2:$B$10000,$B$2:$B$10000&lt;&gt;"")=VALUE(INDEX(IdClientes,MATCH(CFT2,Clientes,0))))</f>
        <v>#VALUE!</v>
      </c>
      <c r="CFU3" s="28" t="e" cm="1" vm="1">
        <f t="array" ref="CFU3">_xlfn._xlws.FILTER(Rutas,_xlfn._xlws.FILTER($B$2:$B$10000,$B$2:$B$10000&lt;&gt;"")=VALUE(INDEX(IdClientes,MATCH(CFU2,Clientes,0))))</f>
        <v>#VALUE!</v>
      </c>
      <c r="CFV3" s="28" t="e" cm="1" vm="1">
        <f t="array" ref="CFV3">_xlfn._xlws.FILTER(Rutas,_xlfn._xlws.FILTER($B$2:$B$10000,$B$2:$B$10000&lt;&gt;"")=VALUE(INDEX(IdClientes,MATCH(CFV2,Clientes,0))))</f>
        <v>#VALUE!</v>
      </c>
      <c r="CFW3" s="28" t="e" cm="1" vm="1">
        <f t="array" ref="CFW3">_xlfn._xlws.FILTER(Rutas,_xlfn._xlws.FILTER($B$2:$B$10000,$B$2:$B$10000&lt;&gt;"")=VALUE(INDEX(IdClientes,MATCH(CFW2,Clientes,0))))</f>
        <v>#VALUE!</v>
      </c>
      <c r="CFX3" s="28" t="e" cm="1" vm="1">
        <f t="array" ref="CFX3">_xlfn._xlws.FILTER(Rutas,_xlfn._xlws.FILTER($B$2:$B$10000,$B$2:$B$10000&lt;&gt;"")=VALUE(INDEX(IdClientes,MATCH(CFX2,Clientes,0))))</f>
        <v>#VALUE!</v>
      </c>
      <c r="CFY3" s="28" t="e" cm="1" vm="1">
        <f t="array" ref="CFY3">_xlfn._xlws.FILTER(Rutas,_xlfn._xlws.FILTER($B$2:$B$10000,$B$2:$B$10000&lt;&gt;"")=VALUE(INDEX(IdClientes,MATCH(CFY2,Clientes,0))))</f>
        <v>#VALUE!</v>
      </c>
      <c r="CFZ3" s="28" t="e" cm="1" vm="1">
        <f t="array" ref="CFZ3">_xlfn._xlws.FILTER(Rutas,_xlfn._xlws.FILTER($B$2:$B$10000,$B$2:$B$10000&lt;&gt;"")=VALUE(INDEX(IdClientes,MATCH(CFZ2,Clientes,0))))</f>
        <v>#VALUE!</v>
      </c>
      <c r="CGA3" s="28" t="e" cm="1" vm="1">
        <f t="array" ref="CGA3">_xlfn._xlws.FILTER(Rutas,_xlfn._xlws.FILTER($B$2:$B$10000,$B$2:$B$10000&lt;&gt;"")=VALUE(INDEX(IdClientes,MATCH(CGA2,Clientes,0))))</f>
        <v>#VALUE!</v>
      </c>
      <c r="CGB3" s="28" t="e" cm="1" vm="1">
        <f t="array" ref="CGB3">_xlfn._xlws.FILTER(Rutas,_xlfn._xlws.FILTER($B$2:$B$10000,$B$2:$B$10000&lt;&gt;"")=VALUE(INDEX(IdClientes,MATCH(CGB2,Clientes,0))))</f>
        <v>#VALUE!</v>
      </c>
      <c r="CGC3" s="28" t="e" cm="1" vm="1">
        <f t="array" ref="CGC3">_xlfn._xlws.FILTER(Rutas,_xlfn._xlws.FILTER($B$2:$B$10000,$B$2:$B$10000&lt;&gt;"")=VALUE(INDEX(IdClientes,MATCH(CGC2,Clientes,0))))</f>
        <v>#VALUE!</v>
      </c>
      <c r="CGD3" s="28" t="e" cm="1" vm="1">
        <f t="array" ref="CGD3">_xlfn._xlws.FILTER(Rutas,_xlfn._xlws.FILTER($B$2:$B$10000,$B$2:$B$10000&lt;&gt;"")=VALUE(INDEX(IdClientes,MATCH(CGD2,Clientes,0))))</f>
        <v>#VALUE!</v>
      </c>
      <c r="CGE3" s="28" t="e" cm="1" vm="1">
        <f t="array" ref="CGE3">_xlfn._xlws.FILTER(Rutas,_xlfn._xlws.FILTER($B$2:$B$10000,$B$2:$B$10000&lt;&gt;"")=VALUE(INDEX(IdClientes,MATCH(CGE2,Clientes,0))))</f>
        <v>#VALUE!</v>
      </c>
      <c r="CGF3" s="28" t="e" cm="1" vm="1">
        <f t="array" ref="CGF3">_xlfn._xlws.FILTER(Rutas,_xlfn._xlws.FILTER($B$2:$B$10000,$B$2:$B$10000&lt;&gt;"")=VALUE(INDEX(IdClientes,MATCH(CGF2,Clientes,0))))</f>
        <v>#VALUE!</v>
      </c>
      <c r="CGG3" s="28" t="e" cm="1" vm="1">
        <f t="array" ref="CGG3">_xlfn._xlws.FILTER(Rutas,_xlfn._xlws.FILTER($B$2:$B$10000,$B$2:$B$10000&lt;&gt;"")=VALUE(INDEX(IdClientes,MATCH(CGG2,Clientes,0))))</f>
        <v>#VALUE!</v>
      </c>
      <c r="CGH3" s="28" t="e" cm="1" vm="1">
        <f t="array" ref="CGH3">_xlfn._xlws.FILTER(Rutas,_xlfn._xlws.FILTER($B$2:$B$10000,$B$2:$B$10000&lt;&gt;"")=VALUE(INDEX(IdClientes,MATCH(CGH2,Clientes,0))))</f>
        <v>#VALUE!</v>
      </c>
      <c r="CGI3" s="28" t="e" cm="1" vm="1">
        <f t="array" ref="CGI3">_xlfn._xlws.FILTER(Rutas,_xlfn._xlws.FILTER($B$2:$B$10000,$B$2:$B$10000&lt;&gt;"")=VALUE(INDEX(IdClientes,MATCH(CGI2,Clientes,0))))</f>
        <v>#VALUE!</v>
      </c>
      <c r="CGJ3" s="28" t="e" cm="1" vm="1">
        <f t="array" ref="CGJ3">_xlfn._xlws.FILTER(Rutas,_xlfn._xlws.FILTER($B$2:$B$10000,$B$2:$B$10000&lt;&gt;"")=VALUE(INDEX(IdClientes,MATCH(CGJ2,Clientes,0))))</f>
        <v>#VALUE!</v>
      </c>
      <c r="CGK3" s="28" t="e" cm="1" vm="1">
        <f t="array" ref="CGK3">_xlfn._xlws.FILTER(Rutas,_xlfn._xlws.FILTER($B$2:$B$10000,$B$2:$B$10000&lt;&gt;"")=VALUE(INDEX(IdClientes,MATCH(CGK2,Clientes,0))))</f>
        <v>#VALUE!</v>
      </c>
      <c r="CGL3" s="28" t="e" cm="1" vm="1">
        <f t="array" ref="CGL3">_xlfn._xlws.FILTER(Rutas,_xlfn._xlws.FILTER($B$2:$B$10000,$B$2:$B$10000&lt;&gt;"")=VALUE(INDEX(IdClientes,MATCH(CGL2,Clientes,0))))</f>
        <v>#VALUE!</v>
      </c>
      <c r="CGM3" s="28" t="e" cm="1" vm="1">
        <f t="array" ref="CGM3">_xlfn._xlws.FILTER(Rutas,_xlfn._xlws.FILTER($B$2:$B$10000,$B$2:$B$10000&lt;&gt;"")=VALUE(INDEX(IdClientes,MATCH(CGM2,Clientes,0))))</f>
        <v>#VALUE!</v>
      </c>
      <c r="CGN3" s="28" t="e" cm="1" vm="1">
        <f t="array" ref="CGN3">_xlfn._xlws.FILTER(Rutas,_xlfn._xlws.FILTER($B$2:$B$10000,$B$2:$B$10000&lt;&gt;"")=VALUE(INDEX(IdClientes,MATCH(CGN2,Clientes,0))))</f>
        <v>#VALUE!</v>
      </c>
      <c r="CGO3" s="28" t="e" cm="1" vm="1">
        <f t="array" ref="CGO3">_xlfn._xlws.FILTER(Rutas,_xlfn._xlws.FILTER($B$2:$B$10000,$B$2:$B$10000&lt;&gt;"")=VALUE(INDEX(IdClientes,MATCH(CGO2,Clientes,0))))</f>
        <v>#VALUE!</v>
      </c>
      <c r="CGP3" s="28" t="e" cm="1" vm="1">
        <f t="array" ref="CGP3">_xlfn._xlws.FILTER(Rutas,_xlfn._xlws.FILTER($B$2:$B$10000,$B$2:$B$10000&lt;&gt;"")=VALUE(INDEX(IdClientes,MATCH(CGP2,Clientes,0))))</f>
        <v>#VALUE!</v>
      </c>
      <c r="CGQ3" s="28" t="e" cm="1" vm="1">
        <f t="array" ref="CGQ3">_xlfn._xlws.FILTER(Rutas,_xlfn._xlws.FILTER($B$2:$B$10000,$B$2:$B$10000&lt;&gt;"")=VALUE(INDEX(IdClientes,MATCH(CGQ2,Clientes,0))))</f>
        <v>#VALUE!</v>
      </c>
      <c r="CGR3" s="28" t="e" cm="1" vm="1">
        <f t="array" ref="CGR3">_xlfn._xlws.FILTER(Rutas,_xlfn._xlws.FILTER($B$2:$B$10000,$B$2:$B$10000&lt;&gt;"")=VALUE(INDEX(IdClientes,MATCH(CGR2,Clientes,0))))</f>
        <v>#VALUE!</v>
      </c>
      <c r="CGS3" s="28" t="e" cm="1" vm="1">
        <f t="array" ref="CGS3">_xlfn._xlws.FILTER(Rutas,_xlfn._xlws.FILTER($B$2:$B$10000,$B$2:$B$10000&lt;&gt;"")=VALUE(INDEX(IdClientes,MATCH(CGS2,Clientes,0))))</f>
        <v>#VALUE!</v>
      </c>
      <c r="CGT3" s="28" t="e" cm="1" vm="1">
        <f t="array" ref="CGT3">_xlfn._xlws.FILTER(Rutas,_xlfn._xlws.FILTER($B$2:$B$10000,$B$2:$B$10000&lt;&gt;"")=VALUE(INDEX(IdClientes,MATCH(CGT2,Clientes,0))))</f>
        <v>#VALUE!</v>
      </c>
      <c r="CGU3" s="28" t="e" cm="1" vm="1">
        <f t="array" ref="CGU3">_xlfn._xlws.FILTER(Rutas,_xlfn._xlws.FILTER($B$2:$B$10000,$B$2:$B$10000&lt;&gt;"")=VALUE(INDEX(IdClientes,MATCH(CGU2,Clientes,0))))</f>
        <v>#VALUE!</v>
      </c>
      <c r="CGV3" s="28" t="e" cm="1" vm="1">
        <f t="array" ref="CGV3">_xlfn._xlws.FILTER(Rutas,_xlfn._xlws.FILTER($B$2:$B$10000,$B$2:$B$10000&lt;&gt;"")=VALUE(INDEX(IdClientes,MATCH(CGV2,Clientes,0))))</f>
        <v>#VALUE!</v>
      </c>
      <c r="CGW3" s="28" t="e" cm="1" vm="1">
        <f t="array" ref="CGW3">_xlfn._xlws.FILTER(Rutas,_xlfn._xlws.FILTER($B$2:$B$10000,$B$2:$B$10000&lt;&gt;"")=VALUE(INDEX(IdClientes,MATCH(CGW2,Clientes,0))))</f>
        <v>#VALUE!</v>
      </c>
      <c r="CGX3" s="28" t="e" cm="1" vm="1">
        <f t="array" ref="CGX3">_xlfn._xlws.FILTER(Rutas,_xlfn._xlws.FILTER($B$2:$B$10000,$B$2:$B$10000&lt;&gt;"")=VALUE(INDEX(IdClientes,MATCH(CGX2,Clientes,0))))</f>
        <v>#VALUE!</v>
      </c>
      <c r="CGY3" s="28" t="e" cm="1" vm="1">
        <f t="array" ref="CGY3">_xlfn._xlws.FILTER(Rutas,_xlfn._xlws.FILTER($B$2:$B$10000,$B$2:$B$10000&lt;&gt;"")=VALUE(INDEX(IdClientes,MATCH(CGY2,Clientes,0))))</f>
        <v>#VALUE!</v>
      </c>
      <c r="CGZ3" s="28" t="e" cm="1" vm="1">
        <f t="array" ref="CGZ3">_xlfn._xlws.FILTER(Rutas,_xlfn._xlws.FILTER($B$2:$B$10000,$B$2:$B$10000&lt;&gt;"")=VALUE(INDEX(IdClientes,MATCH(CGZ2,Clientes,0))))</f>
        <v>#VALUE!</v>
      </c>
      <c r="CHA3" s="28" t="e" cm="1" vm="1">
        <f t="array" ref="CHA3">_xlfn._xlws.FILTER(Rutas,_xlfn._xlws.FILTER($B$2:$B$10000,$B$2:$B$10000&lt;&gt;"")=VALUE(INDEX(IdClientes,MATCH(CHA2,Clientes,0))))</f>
        <v>#VALUE!</v>
      </c>
      <c r="CHB3" s="28" t="e" cm="1" vm="1">
        <f t="array" ref="CHB3">_xlfn._xlws.FILTER(Rutas,_xlfn._xlws.FILTER($B$2:$B$10000,$B$2:$B$10000&lt;&gt;"")=VALUE(INDEX(IdClientes,MATCH(CHB2,Clientes,0))))</f>
        <v>#VALUE!</v>
      </c>
      <c r="CHC3" s="28" t="e" cm="1" vm="1">
        <f t="array" ref="CHC3">_xlfn._xlws.FILTER(Rutas,_xlfn._xlws.FILTER($B$2:$B$10000,$B$2:$B$10000&lt;&gt;"")=VALUE(INDEX(IdClientes,MATCH(CHC2,Clientes,0))))</f>
        <v>#VALUE!</v>
      </c>
      <c r="CHD3" s="28" t="e" cm="1" vm="1">
        <f t="array" ref="CHD3">_xlfn._xlws.FILTER(Rutas,_xlfn._xlws.FILTER($B$2:$B$10000,$B$2:$B$10000&lt;&gt;"")=VALUE(INDEX(IdClientes,MATCH(CHD2,Clientes,0))))</f>
        <v>#VALUE!</v>
      </c>
      <c r="CHE3" s="28" t="e" cm="1" vm="1">
        <f t="array" ref="CHE3">_xlfn._xlws.FILTER(Rutas,_xlfn._xlws.FILTER($B$2:$B$10000,$B$2:$B$10000&lt;&gt;"")=VALUE(INDEX(IdClientes,MATCH(CHE2,Clientes,0))))</f>
        <v>#VALUE!</v>
      </c>
      <c r="CHF3" s="28" t="e" cm="1" vm="1">
        <f t="array" ref="CHF3">_xlfn._xlws.FILTER(Rutas,_xlfn._xlws.FILTER($B$2:$B$10000,$B$2:$B$10000&lt;&gt;"")=VALUE(INDEX(IdClientes,MATCH(CHF2,Clientes,0))))</f>
        <v>#VALUE!</v>
      </c>
      <c r="CHG3" s="28" t="e" cm="1" vm="1">
        <f t="array" ref="CHG3">_xlfn._xlws.FILTER(Rutas,_xlfn._xlws.FILTER($B$2:$B$10000,$B$2:$B$10000&lt;&gt;"")=VALUE(INDEX(IdClientes,MATCH(CHG2,Clientes,0))))</f>
        <v>#VALUE!</v>
      </c>
      <c r="CHH3" s="28" t="e" cm="1" vm="1">
        <f t="array" ref="CHH3">_xlfn._xlws.FILTER(Rutas,_xlfn._xlws.FILTER($B$2:$B$10000,$B$2:$B$10000&lt;&gt;"")=VALUE(INDEX(IdClientes,MATCH(CHH2,Clientes,0))))</f>
        <v>#VALUE!</v>
      </c>
      <c r="CHI3" s="28" t="e" cm="1" vm="1">
        <f t="array" ref="CHI3">_xlfn._xlws.FILTER(Rutas,_xlfn._xlws.FILTER($B$2:$B$10000,$B$2:$B$10000&lt;&gt;"")=VALUE(INDEX(IdClientes,MATCH(CHI2,Clientes,0))))</f>
        <v>#VALUE!</v>
      </c>
      <c r="CHJ3" s="28" t="e" cm="1" vm="1">
        <f t="array" ref="CHJ3">_xlfn._xlws.FILTER(Rutas,_xlfn._xlws.FILTER($B$2:$B$10000,$B$2:$B$10000&lt;&gt;"")=VALUE(INDEX(IdClientes,MATCH(CHJ2,Clientes,0))))</f>
        <v>#VALUE!</v>
      </c>
      <c r="CHK3" s="28" t="e" cm="1" vm="1">
        <f t="array" ref="CHK3">_xlfn._xlws.FILTER(Rutas,_xlfn._xlws.FILTER($B$2:$B$10000,$B$2:$B$10000&lt;&gt;"")=VALUE(INDEX(IdClientes,MATCH(CHK2,Clientes,0))))</f>
        <v>#VALUE!</v>
      </c>
      <c r="CHL3" s="28" t="e" cm="1" vm="1">
        <f t="array" ref="CHL3">_xlfn._xlws.FILTER(Rutas,_xlfn._xlws.FILTER($B$2:$B$10000,$B$2:$B$10000&lt;&gt;"")=VALUE(INDEX(IdClientes,MATCH(CHL2,Clientes,0))))</f>
        <v>#VALUE!</v>
      </c>
      <c r="CHM3" s="28" t="e" cm="1" vm="1">
        <f t="array" ref="CHM3">_xlfn._xlws.FILTER(Rutas,_xlfn._xlws.FILTER($B$2:$B$10000,$B$2:$B$10000&lt;&gt;"")=VALUE(INDEX(IdClientes,MATCH(CHM2,Clientes,0))))</f>
        <v>#VALUE!</v>
      </c>
      <c r="CHN3" s="28" t="e" cm="1" vm="1">
        <f t="array" ref="CHN3">_xlfn._xlws.FILTER(Rutas,_xlfn._xlws.FILTER($B$2:$B$10000,$B$2:$B$10000&lt;&gt;"")=VALUE(INDEX(IdClientes,MATCH(CHN2,Clientes,0))))</f>
        <v>#VALUE!</v>
      </c>
      <c r="CHO3" s="28" t="e" cm="1" vm="1">
        <f t="array" ref="CHO3">_xlfn._xlws.FILTER(Rutas,_xlfn._xlws.FILTER($B$2:$B$10000,$B$2:$B$10000&lt;&gt;"")=VALUE(INDEX(IdClientes,MATCH(CHO2,Clientes,0))))</f>
        <v>#VALUE!</v>
      </c>
      <c r="CHP3" s="28" t="e" cm="1" vm="1">
        <f t="array" ref="CHP3">_xlfn._xlws.FILTER(Rutas,_xlfn._xlws.FILTER($B$2:$B$10000,$B$2:$B$10000&lt;&gt;"")=VALUE(INDEX(IdClientes,MATCH(CHP2,Clientes,0))))</f>
        <v>#VALUE!</v>
      </c>
      <c r="CHQ3" s="28" t="e" cm="1" vm="1">
        <f t="array" ref="CHQ3">_xlfn._xlws.FILTER(Rutas,_xlfn._xlws.FILTER($B$2:$B$10000,$B$2:$B$10000&lt;&gt;"")=VALUE(INDEX(IdClientes,MATCH(CHQ2,Clientes,0))))</f>
        <v>#VALUE!</v>
      </c>
      <c r="CHR3" s="28" t="e" cm="1" vm="1">
        <f t="array" ref="CHR3">_xlfn._xlws.FILTER(Rutas,_xlfn._xlws.FILTER($B$2:$B$10000,$B$2:$B$10000&lt;&gt;"")=VALUE(INDEX(IdClientes,MATCH(CHR2,Clientes,0))))</f>
        <v>#VALUE!</v>
      </c>
      <c r="CHS3" s="28" t="e" cm="1" vm="1">
        <f t="array" ref="CHS3">_xlfn._xlws.FILTER(Rutas,_xlfn._xlws.FILTER($B$2:$B$10000,$B$2:$B$10000&lt;&gt;"")=VALUE(INDEX(IdClientes,MATCH(CHS2,Clientes,0))))</f>
        <v>#VALUE!</v>
      </c>
      <c r="CHT3" s="28" t="e" cm="1" vm="1">
        <f t="array" ref="CHT3">_xlfn._xlws.FILTER(Rutas,_xlfn._xlws.FILTER($B$2:$B$10000,$B$2:$B$10000&lt;&gt;"")=VALUE(INDEX(IdClientes,MATCH(CHT2,Clientes,0))))</f>
        <v>#VALUE!</v>
      </c>
      <c r="CHU3" s="28" t="e" cm="1" vm="1">
        <f t="array" ref="CHU3">_xlfn._xlws.FILTER(Rutas,_xlfn._xlws.FILTER($B$2:$B$10000,$B$2:$B$10000&lt;&gt;"")=VALUE(INDEX(IdClientes,MATCH(CHU2,Clientes,0))))</f>
        <v>#VALUE!</v>
      </c>
      <c r="CHV3" s="28" t="e" cm="1" vm="1">
        <f t="array" ref="CHV3">_xlfn._xlws.FILTER(Rutas,_xlfn._xlws.FILTER($B$2:$B$10000,$B$2:$B$10000&lt;&gt;"")=VALUE(INDEX(IdClientes,MATCH(CHV2,Clientes,0))))</f>
        <v>#VALUE!</v>
      </c>
      <c r="CHW3" s="28" t="e" cm="1" vm="1">
        <f t="array" ref="CHW3">_xlfn._xlws.FILTER(Rutas,_xlfn._xlws.FILTER($B$2:$B$10000,$B$2:$B$10000&lt;&gt;"")=VALUE(INDEX(IdClientes,MATCH(CHW2,Clientes,0))))</f>
        <v>#VALUE!</v>
      </c>
      <c r="CHX3" s="28" t="e" cm="1" vm="1">
        <f t="array" ref="CHX3">_xlfn._xlws.FILTER(Rutas,_xlfn._xlws.FILTER($B$2:$B$10000,$B$2:$B$10000&lt;&gt;"")=VALUE(INDEX(IdClientes,MATCH(CHX2,Clientes,0))))</f>
        <v>#VALUE!</v>
      </c>
      <c r="CHY3" s="28" t="e" cm="1" vm="1">
        <f t="array" ref="CHY3">_xlfn._xlws.FILTER(Rutas,_xlfn._xlws.FILTER($B$2:$B$10000,$B$2:$B$10000&lt;&gt;"")=VALUE(INDEX(IdClientes,MATCH(CHY2,Clientes,0))))</f>
        <v>#VALUE!</v>
      </c>
      <c r="CHZ3" s="28" t="e" cm="1" vm="1">
        <f t="array" ref="CHZ3">_xlfn._xlws.FILTER(Rutas,_xlfn._xlws.FILTER($B$2:$B$10000,$B$2:$B$10000&lt;&gt;"")=VALUE(INDEX(IdClientes,MATCH(CHZ2,Clientes,0))))</f>
        <v>#VALUE!</v>
      </c>
      <c r="CIA3" s="28" t="e" cm="1" vm="1">
        <f t="array" ref="CIA3">_xlfn._xlws.FILTER(Rutas,_xlfn._xlws.FILTER($B$2:$B$10000,$B$2:$B$10000&lt;&gt;"")=VALUE(INDEX(IdClientes,MATCH(CIA2,Clientes,0))))</f>
        <v>#VALUE!</v>
      </c>
      <c r="CIB3" s="28" t="e" cm="1" vm="1">
        <f t="array" ref="CIB3">_xlfn._xlws.FILTER(Rutas,_xlfn._xlws.FILTER($B$2:$B$10000,$B$2:$B$10000&lt;&gt;"")=VALUE(INDEX(IdClientes,MATCH(CIB2,Clientes,0))))</f>
        <v>#VALUE!</v>
      </c>
      <c r="CIC3" s="28" t="e" cm="1" vm="1">
        <f t="array" ref="CIC3">_xlfn._xlws.FILTER(Rutas,_xlfn._xlws.FILTER($B$2:$B$10000,$B$2:$B$10000&lt;&gt;"")=VALUE(INDEX(IdClientes,MATCH(CIC2,Clientes,0))))</f>
        <v>#VALUE!</v>
      </c>
      <c r="CID3" s="28" t="e" cm="1" vm="1">
        <f t="array" ref="CID3">_xlfn._xlws.FILTER(Rutas,_xlfn._xlws.FILTER($B$2:$B$10000,$B$2:$B$10000&lt;&gt;"")=VALUE(INDEX(IdClientes,MATCH(CID2,Clientes,0))))</f>
        <v>#VALUE!</v>
      </c>
      <c r="CIE3" s="28" t="e" cm="1" vm="1">
        <f t="array" ref="CIE3">_xlfn._xlws.FILTER(Rutas,_xlfn._xlws.FILTER($B$2:$B$10000,$B$2:$B$10000&lt;&gt;"")=VALUE(INDEX(IdClientes,MATCH(CIE2,Clientes,0))))</f>
        <v>#VALUE!</v>
      </c>
      <c r="CIF3" s="28" t="e" cm="1" vm="1">
        <f t="array" ref="CIF3">_xlfn._xlws.FILTER(Rutas,_xlfn._xlws.FILTER($B$2:$B$10000,$B$2:$B$10000&lt;&gt;"")=VALUE(INDEX(IdClientes,MATCH(CIF2,Clientes,0))))</f>
        <v>#VALUE!</v>
      </c>
      <c r="CIG3" s="28" t="e" cm="1" vm="1">
        <f t="array" ref="CIG3">_xlfn._xlws.FILTER(Rutas,_xlfn._xlws.FILTER($B$2:$B$10000,$B$2:$B$10000&lt;&gt;"")=VALUE(INDEX(IdClientes,MATCH(CIG2,Clientes,0))))</f>
        <v>#VALUE!</v>
      </c>
      <c r="CIH3" s="28" t="e" cm="1" vm="1">
        <f t="array" ref="CIH3">_xlfn._xlws.FILTER(Rutas,_xlfn._xlws.FILTER($B$2:$B$10000,$B$2:$B$10000&lt;&gt;"")=VALUE(INDEX(IdClientes,MATCH(CIH2,Clientes,0))))</f>
        <v>#VALUE!</v>
      </c>
      <c r="CII3" s="28" t="e" cm="1" vm="1">
        <f t="array" ref="CII3">_xlfn._xlws.FILTER(Rutas,_xlfn._xlws.FILTER($B$2:$B$10000,$B$2:$B$10000&lt;&gt;"")=VALUE(INDEX(IdClientes,MATCH(CII2,Clientes,0))))</f>
        <v>#VALUE!</v>
      </c>
      <c r="CIJ3" s="28" t="e" cm="1" vm="1">
        <f t="array" ref="CIJ3">_xlfn._xlws.FILTER(Rutas,_xlfn._xlws.FILTER($B$2:$B$10000,$B$2:$B$10000&lt;&gt;"")=VALUE(INDEX(IdClientes,MATCH(CIJ2,Clientes,0))))</f>
        <v>#VALUE!</v>
      </c>
      <c r="CIK3" s="28" t="e" cm="1" vm="1">
        <f t="array" ref="CIK3">_xlfn._xlws.FILTER(Rutas,_xlfn._xlws.FILTER($B$2:$B$10000,$B$2:$B$10000&lt;&gt;"")=VALUE(INDEX(IdClientes,MATCH(CIK2,Clientes,0))))</f>
        <v>#VALUE!</v>
      </c>
      <c r="CIL3" s="28" t="e" cm="1" vm="1">
        <f t="array" ref="CIL3">_xlfn._xlws.FILTER(Rutas,_xlfn._xlws.FILTER($B$2:$B$10000,$B$2:$B$10000&lt;&gt;"")=VALUE(INDEX(IdClientes,MATCH(CIL2,Clientes,0))))</f>
        <v>#VALUE!</v>
      </c>
      <c r="CIM3" s="28" t="e" cm="1" vm="1">
        <f t="array" ref="CIM3">_xlfn._xlws.FILTER(Rutas,_xlfn._xlws.FILTER($B$2:$B$10000,$B$2:$B$10000&lt;&gt;"")=VALUE(INDEX(IdClientes,MATCH(CIM2,Clientes,0))))</f>
        <v>#VALUE!</v>
      </c>
      <c r="CIN3" s="28" t="e" cm="1" vm="1">
        <f t="array" ref="CIN3">_xlfn._xlws.FILTER(Rutas,_xlfn._xlws.FILTER($B$2:$B$10000,$B$2:$B$10000&lt;&gt;"")=VALUE(INDEX(IdClientes,MATCH(CIN2,Clientes,0))))</f>
        <v>#VALUE!</v>
      </c>
      <c r="CIO3" s="28" t="e" cm="1" vm="1">
        <f t="array" ref="CIO3">_xlfn._xlws.FILTER(Rutas,_xlfn._xlws.FILTER($B$2:$B$10000,$B$2:$B$10000&lt;&gt;"")=VALUE(INDEX(IdClientes,MATCH(CIO2,Clientes,0))))</f>
        <v>#VALUE!</v>
      </c>
      <c r="CIP3" s="28" t="e" cm="1" vm="1">
        <f t="array" ref="CIP3">_xlfn._xlws.FILTER(Rutas,_xlfn._xlws.FILTER($B$2:$B$10000,$B$2:$B$10000&lt;&gt;"")=VALUE(INDEX(IdClientes,MATCH(CIP2,Clientes,0))))</f>
        <v>#VALUE!</v>
      </c>
      <c r="CIQ3" s="28" t="e" cm="1" vm="1">
        <f t="array" ref="CIQ3">_xlfn._xlws.FILTER(Rutas,_xlfn._xlws.FILTER($B$2:$B$10000,$B$2:$B$10000&lt;&gt;"")=VALUE(INDEX(IdClientes,MATCH(CIQ2,Clientes,0))))</f>
        <v>#VALUE!</v>
      </c>
      <c r="CIR3" s="28" t="e" cm="1" vm="1">
        <f t="array" ref="CIR3">_xlfn._xlws.FILTER(Rutas,_xlfn._xlws.FILTER($B$2:$B$10000,$B$2:$B$10000&lt;&gt;"")=VALUE(INDEX(IdClientes,MATCH(CIR2,Clientes,0))))</f>
        <v>#VALUE!</v>
      </c>
      <c r="CIS3" s="28" t="e" cm="1" vm="1">
        <f t="array" ref="CIS3">_xlfn._xlws.FILTER(Rutas,_xlfn._xlws.FILTER($B$2:$B$10000,$B$2:$B$10000&lt;&gt;"")=VALUE(INDEX(IdClientes,MATCH(CIS2,Clientes,0))))</f>
        <v>#VALUE!</v>
      </c>
      <c r="CIT3" s="28" t="e" cm="1" vm="1">
        <f t="array" ref="CIT3">_xlfn._xlws.FILTER(Rutas,_xlfn._xlws.FILTER($B$2:$B$10000,$B$2:$B$10000&lt;&gt;"")=VALUE(INDEX(IdClientes,MATCH(CIT2,Clientes,0))))</f>
        <v>#VALUE!</v>
      </c>
      <c r="CIU3" s="28" t="e" cm="1" vm="1">
        <f t="array" ref="CIU3">_xlfn._xlws.FILTER(Rutas,_xlfn._xlws.FILTER($B$2:$B$10000,$B$2:$B$10000&lt;&gt;"")=VALUE(INDEX(IdClientes,MATCH(CIU2,Clientes,0))))</f>
        <v>#VALUE!</v>
      </c>
      <c r="CIV3" s="28" t="e" cm="1" vm="1">
        <f t="array" ref="CIV3">_xlfn._xlws.FILTER(Rutas,_xlfn._xlws.FILTER($B$2:$B$10000,$B$2:$B$10000&lt;&gt;"")=VALUE(INDEX(IdClientes,MATCH(CIV2,Clientes,0))))</f>
        <v>#VALUE!</v>
      </c>
      <c r="CIW3" s="28" t="e" cm="1" vm="1">
        <f t="array" ref="CIW3">_xlfn._xlws.FILTER(Rutas,_xlfn._xlws.FILTER($B$2:$B$10000,$B$2:$B$10000&lt;&gt;"")=VALUE(INDEX(IdClientes,MATCH(CIW2,Clientes,0))))</f>
        <v>#VALUE!</v>
      </c>
      <c r="CIX3" s="28" t="e" cm="1" vm="1">
        <f t="array" ref="CIX3">_xlfn._xlws.FILTER(Rutas,_xlfn._xlws.FILTER($B$2:$B$10000,$B$2:$B$10000&lt;&gt;"")=VALUE(INDEX(IdClientes,MATCH(CIX2,Clientes,0))))</f>
        <v>#VALUE!</v>
      </c>
      <c r="CIY3" s="28" t="e" cm="1" vm="1">
        <f t="array" ref="CIY3">_xlfn._xlws.FILTER(Rutas,_xlfn._xlws.FILTER($B$2:$B$10000,$B$2:$B$10000&lt;&gt;"")=VALUE(INDEX(IdClientes,MATCH(CIY2,Clientes,0))))</f>
        <v>#VALUE!</v>
      </c>
      <c r="CIZ3" s="28" t="e" cm="1" vm="1">
        <f t="array" ref="CIZ3">_xlfn._xlws.FILTER(Rutas,_xlfn._xlws.FILTER($B$2:$B$10000,$B$2:$B$10000&lt;&gt;"")=VALUE(INDEX(IdClientes,MATCH(CIZ2,Clientes,0))))</f>
        <v>#VALUE!</v>
      </c>
      <c r="CJA3" s="28" t="e" cm="1" vm="1">
        <f t="array" ref="CJA3">_xlfn._xlws.FILTER(Rutas,_xlfn._xlws.FILTER($B$2:$B$10000,$B$2:$B$10000&lt;&gt;"")=VALUE(INDEX(IdClientes,MATCH(CJA2,Clientes,0))))</f>
        <v>#VALUE!</v>
      </c>
      <c r="CJB3" s="28" t="e" cm="1" vm="1">
        <f t="array" ref="CJB3">_xlfn._xlws.FILTER(Rutas,_xlfn._xlws.FILTER($B$2:$B$10000,$B$2:$B$10000&lt;&gt;"")=VALUE(INDEX(IdClientes,MATCH(CJB2,Clientes,0))))</f>
        <v>#VALUE!</v>
      </c>
      <c r="CJC3" s="28" t="e" cm="1" vm="1">
        <f t="array" ref="CJC3">_xlfn._xlws.FILTER(Rutas,_xlfn._xlws.FILTER($B$2:$B$10000,$B$2:$B$10000&lt;&gt;"")=VALUE(INDEX(IdClientes,MATCH(CJC2,Clientes,0))))</f>
        <v>#VALUE!</v>
      </c>
      <c r="CJD3" s="28" t="e" cm="1" vm="1">
        <f t="array" ref="CJD3">_xlfn._xlws.FILTER(Rutas,_xlfn._xlws.FILTER($B$2:$B$10000,$B$2:$B$10000&lt;&gt;"")=VALUE(INDEX(IdClientes,MATCH(CJD2,Clientes,0))))</f>
        <v>#VALUE!</v>
      </c>
      <c r="CJE3" s="28" t="e" cm="1" vm="1">
        <f t="array" ref="CJE3">_xlfn._xlws.FILTER(Rutas,_xlfn._xlws.FILTER($B$2:$B$10000,$B$2:$B$10000&lt;&gt;"")=VALUE(INDEX(IdClientes,MATCH(CJE2,Clientes,0))))</f>
        <v>#VALUE!</v>
      </c>
      <c r="CJF3" s="28" t="e" cm="1" vm="1">
        <f t="array" ref="CJF3">_xlfn._xlws.FILTER(Rutas,_xlfn._xlws.FILTER($B$2:$B$10000,$B$2:$B$10000&lt;&gt;"")=VALUE(INDEX(IdClientes,MATCH(CJF2,Clientes,0))))</f>
        <v>#VALUE!</v>
      </c>
      <c r="CJG3" s="28" t="e" cm="1" vm="1">
        <f t="array" ref="CJG3">_xlfn._xlws.FILTER(Rutas,_xlfn._xlws.FILTER($B$2:$B$10000,$B$2:$B$10000&lt;&gt;"")=VALUE(INDEX(IdClientes,MATCH(CJG2,Clientes,0))))</f>
        <v>#VALUE!</v>
      </c>
      <c r="CJH3" s="28" t="e" cm="1" vm="1">
        <f t="array" ref="CJH3">_xlfn._xlws.FILTER(Rutas,_xlfn._xlws.FILTER($B$2:$B$10000,$B$2:$B$10000&lt;&gt;"")=VALUE(INDEX(IdClientes,MATCH(CJH2,Clientes,0))))</f>
        <v>#VALUE!</v>
      </c>
      <c r="CJI3" s="28" t="e" cm="1" vm="1">
        <f t="array" ref="CJI3">_xlfn._xlws.FILTER(Rutas,_xlfn._xlws.FILTER($B$2:$B$10000,$B$2:$B$10000&lt;&gt;"")=VALUE(INDEX(IdClientes,MATCH(CJI2,Clientes,0))))</f>
        <v>#VALUE!</v>
      </c>
      <c r="CJJ3" s="28" t="e" cm="1" vm="1">
        <f t="array" ref="CJJ3">_xlfn._xlws.FILTER(Rutas,_xlfn._xlws.FILTER($B$2:$B$10000,$B$2:$B$10000&lt;&gt;"")=VALUE(INDEX(IdClientes,MATCH(CJJ2,Clientes,0))))</f>
        <v>#VALUE!</v>
      </c>
      <c r="CJK3" s="28" t="e" cm="1" vm="1">
        <f t="array" ref="CJK3">_xlfn._xlws.FILTER(Rutas,_xlfn._xlws.FILTER($B$2:$B$10000,$B$2:$B$10000&lt;&gt;"")=VALUE(INDEX(IdClientes,MATCH(CJK2,Clientes,0))))</f>
        <v>#VALUE!</v>
      </c>
      <c r="CJL3" s="28" t="e" cm="1" vm="1">
        <f t="array" ref="CJL3">_xlfn._xlws.FILTER(Rutas,_xlfn._xlws.FILTER($B$2:$B$10000,$B$2:$B$10000&lt;&gt;"")=VALUE(INDEX(IdClientes,MATCH(CJL2,Clientes,0))))</f>
        <v>#VALUE!</v>
      </c>
      <c r="CJM3" s="28" t="e" cm="1" vm="1">
        <f t="array" ref="CJM3">_xlfn._xlws.FILTER(Rutas,_xlfn._xlws.FILTER($B$2:$B$10000,$B$2:$B$10000&lt;&gt;"")=VALUE(INDEX(IdClientes,MATCH(CJM2,Clientes,0))))</f>
        <v>#VALUE!</v>
      </c>
      <c r="CJN3" s="28" t="e" cm="1" vm="1">
        <f t="array" ref="CJN3">_xlfn._xlws.FILTER(Rutas,_xlfn._xlws.FILTER($B$2:$B$10000,$B$2:$B$10000&lt;&gt;"")=VALUE(INDEX(IdClientes,MATCH(CJN2,Clientes,0))))</f>
        <v>#VALUE!</v>
      </c>
      <c r="CJO3" s="28" t="e" cm="1" vm="1">
        <f t="array" ref="CJO3">_xlfn._xlws.FILTER(Rutas,_xlfn._xlws.FILTER($B$2:$B$10000,$B$2:$B$10000&lt;&gt;"")=VALUE(INDEX(IdClientes,MATCH(CJO2,Clientes,0))))</f>
        <v>#VALUE!</v>
      </c>
      <c r="CJP3" s="28" t="e" cm="1" vm="1">
        <f t="array" ref="CJP3">_xlfn._xlws.FILTER(Rutas,_xlfn._xlws.FILTER($B$2:$B$10000,$B$2:$B$10000&lt;&gt;"")=VALUE(INDEX(IdClientes,MATCH(CJP2,Clientes,0))))</f>
        <v>#VALUE!</v>
      </c>
      <c r="CJQ3" s="28" t="e" cm="1" vm="1">
        <f t="array" ref="CJQ3">_xlfn._xlws.FILTER(Rutas,_xlfn._xlws.FILTER($B$2:$B$10000,$B$2:$B$10000&lt;&gt;"")=VALUE(INDEX(IdClientes,MATCH(CJQ2,Clientes,0))))</f>
        <v>#VALUE!</v>
      </c>
      <c r="CJR3" s="28" t="e" cm="1" vm="1">
        <f t="array" ref="CJR3">_xlfn._xlws.FILTER(Rutas,_xlfn._xlws.FILTER($B$2:$B$10000,$B$2:$B$10000&lt;&gt;"")=VALUE(INDEX(IdClientes,MATCH(CJR2,Clientes,0))))</f>
        <v>#VALUE!</v>
      </c>
      <c r="CJS3" s="28" t="e" cm="1" vm="1">
        <f t="array" ref="CJS3">_xlfn._xlws.FILTER(Rutas,_xlfn._xlws.FILTER($B$2:$B$10000,$B$2:$B$10000&lt;&gt;"")=VALUE(INDEX(IdClientes,MATCH(CJS2,Clientes,0))))</f>
        <v>#VALUE!</v>
      </c>
      <c r="CJT3" s="28" t="e" cm="1" vm="1">
        <f t="array" ref="CJT3">_xlfn._xlws.FILTER(Rutas,_xlfn._xlws.FILTER($B$2:$B$10000,$B$2:$B$10000&lt;&gt;"")=VALUE(INDEX(IdClientes,MATCH(CJT2,Clientes,0))))</f>
        <v>#VALUE!</v>
      </c>
      <c r="CJU3" s="28" t="e" cm="1" vm="1">
        <f t="array" ref="CJU3">_xlfn._xlws.FILTER(Rutas,_xlfn._xlws.FILTER($B$2:$B$10000,$B$2:$B$10000&lt;&gt;"")=VALUE(INDEX(IdClientes,MATCH(CJU2,Clientes,0))))</f>
        <v>#VALUE!</v>
      </c>
      <c r="CJV3" s="28" t="e" cm="1" vm="1">
        <f t="array" ref="CJV3">_xlfn._xlws.FILTER(Rutas,_xlfn._xlws.FILTER($B$2:$B$10000,$B$2:$B$10000&lt;&gt;"")=VALUE(INDEX(IdClientes,MATCH(CJV2,Clientes,0))))</f>
        <v>#VALUE!</v>
      </c>
      <c r="CJW3" s="28" t="e" cm="1" vm="1">
        <f t="array" ref="CJW3">_xlfn._xlws.FILTER(Rutas,_xlfn._xlws.FILTER($B$2:$B$10000,$B$2:$B$10000&lt;&gt;"")=VALUE(INDEX(IdClientes,MATCH(CJW2,Clientes,0))))</f>
        <v>#VALUE!</v>
      </c>
      <c r="CJX3" s="28" t="e" cm="1" vm="1">
        <f t="array" ref="CJX3">_xlfn._xlws.FILTER(Rutas,_xlfn._xlws.FILTER($B$2:$B$10000,$B$2:$B$10000&lt;&gt;"")=VALUE(INDEX(IdClientes,MATCH(CJX2,Clientes,0))))</f>
        <v>#VALUE!</v>
      </c>
      <c r="CJY3" s="28" t="e" cm="1" vm="1">
        <f t="array" ref="CJY3">_xlfn._xlws.FILTER(Rutas,_xlfn._xlws.FILTER($B$2:$B$10000,$B$2:$B$10000&lt;&gt;"")=VALUE(INDEX(IdClientes,MATCH(CJY2,Clientes,0))))</f>
        <v>#VALUE!</v>
      </c>
      <c r="CJZ3" s="28" t="e" cm="1" vm="1">
        <f t="array" ref="CJZ3">_xlfn._xlws.FILTER(Rutas,_xlfn._xlws.FILTER($B$2:$B$10000,$B$2:$B$10000&lt;&gt;"")=VALUE(INDEX(IdClientes,MATCH(CJZ2,Clientes,0))))</f>
        <v>#VALUE!</v>
      </c>
      <c r="CKA3" s="28" t="e" cm="1" vm="1">
        <f t="array" ref="CKA3">_xlfn._xlws.FILTER(Rutas,_xlfn._xlws.FILTER($B$2:$B$10000,$B$2:$B$10000&lt;&gt;"")=VALUE(INDEX(IdClientes,MATCH(CKA2,Clientes,0))))</f>
        <v>#VALUE!</v>
      </c>
      <c r="CKB3" s="28" t="e" cm="1" vm="1">
        <f t="array" ref="CKB3">_xlfn._xlws.FILTER(Rutas,_xlfn._xlws.FILTER($B$2:$B$10000,$B$2:$B$10000&lt;&gt;"")=VALUE(INDEX(IdClientes,MATCH(CKB2,Clientes,0))))</f>
        <v>#VALUE!</v>
      </c>
      <c r="CKC3" s="28" t="e" cm="1" vm="1">
        <f t="array" ref="CKC3">_xlfn._xlws.FILTER(Rutas,_xlfn._xlws.FILTER($B$2:$B$10000,$B$2:$B$10000&lt;&gt;"")=VALUE(INDEX(IdClientes,MATCH(CKC2,Clientes,0))))</f>
        <v>#VALUE!</v>
      </c>
      <c r="CKD3" s="28" t="e" cm="1" vm="1">
        <f t="array" ref="CKD3">_xlfn._xlws.FILTER(Rutas,_xlfn._xlws.FILTER($B$2:$B$10000,$B$2:$B$10000&lt;&gt;"")=VALUE(INDEX(IdClientes,MATCH(CKD2,Clientes,0))))</f>
        <v>#VALUE!</v>
      </c>
      <c r="CKE3" s="28" t="e" cm="1" vm="1">
        <f t="array" ref="CKE3">_xlfn._xlws.FILTER(Rutas,_xlfn._xlws.FILTER($B$2:$B$10000,$B$2:$B$10000&lt;&gt;"")=VALUE(INDEX(IdClientes,MATCH(CKE2,Clientes,0))))</f>
        <v>#VALUE!</v>
      </c>
      <c r="CKF3" s="28" t="e" cm="1" vm="1">
        <f t="array" ref="CKF3">_xlfn._xlws.FILTER(Rutas,_xlfn._xlws.FILTER($B$2:$B$10000,$B$2:$B$10000&lt;&gt;"")=VALUE(INDEX(IdClientes,MATCH(CKF2,Clientes,0))))</f>
        <v>#VALUE!</v>
      </c>
      <c r="CKG3" s="28" t="e" cm="1" vm="1">
        <f t="array" ref="CKG3">_xlfn._xlws.FILTER(Rutas,_xlfn._xlws.FILTER($B$2:$B$10000,$B$2:$B$10000&lt;&gt;"")=VALUE(INDEX(IdClientes,MATCH(CKG2,Clientes,0))))</f>
        <v>#VALUE!</v>
      </c>
      <c r="CKH3" s="28" t="e" cm="1" vm="1">
        <f t="array" ref="CKH3">_xlfn._xlws.FILTER(Rutas,_xlfn._xlws.FILTER($B$2:$B$10000,$B$2:$B$10000&lt;&gt;"")=VALUE(INDEX(IdClientes,MATCH(CKH2,Clientes,0))))</f>
        <v>#VALUE!</v>
      </c>
      <c r="CKI3" s="28" t="e" cm="1" vm="1">
        <f t="array" ref="CKI3">_xlfn._xlws.FILTER(Rutas,_xlfn._xlws.FILTER($B$2:$B$10000,$B$2:$B$10000&lt;&gt;"")=VALUE(INDEX(IdClientes,MATCH(CKI2,Clientes,0))))</f>
        <v>#VALUE!</v>
      </c>
      <c r="CKJ3" s="28" t="e" cm="1" vm="1">
        <f t="array" ref="CKJ3">_xlfn._xlws.FILTER(Rutas,_xlfn._xlws.FILTER($B$2:$B$10000,$B$2:$B$10000&lt;&gt;"")=VALUE(INDEX(IdClientes,MATCH(CKJ2,Clientes,0))))</f>
        <v>#VALUE!</v>
      </c>
      <c r="CKK3" s="28" t="e" cm="1" vm="1">
        <f t="array" ref="CKK3">_xlfn._xlws.FILTER(Rutas,_xlfn._xlws.FILTER($B$2:$B$10000,$B$2:$B$10000&lt;&gt;"")=VALUE(INDEX(IdClientes,MATCH(CKK2,Clientes,0))))</f>
        <v>#VALUE!</v>
      </c>
      <c r="CKL3" s="28" t="e" cm="1" vm="1">
        <f t="array" ref="CKL3">_xlfn._xlws.FILTER(Rutas,_xlfn._xlws.FILTER($B$2:$B$10000,$B$2:$B$10000&lt;&gt;"")=VALUE(INDEX(IdClientes,MATCH(CKL2,Clientes,0))))</f>
        <v>#VALUE!</v>
      </c>
      <c r="CKM3" s="28" t="e" cm="1" vm="1">
        <f t="array" ref="CKM3">_xlfn._xlws.FILTER(Rutas,_xlfn._xlws.FILTER($B$2:$B$10000,$B$2:$B$10000&lt;&gt;"")=VALUE(INDEX(IdClientes,MATCH(CKM2,Clientes,0))))</f>
        <v>#VALUE!</v>
      </c>
      <c r="CKN3" s="28" t="e" cm="1" vm="1">
        <f t="array" ref="CKN3">_xlfn._xlws.FILTER(Rutas,_xlfn._xlws.FILTER($B$2:$B$10000,$B$2:$B$10000&lt;&gt;"")=VALUE(INDEX(IdClientes,MATCH(CKN2,Clientes,0))))</f>
        <v>#VALUE!</v>
      </c>
      <c r="CKO3" s="28" t="e" cm="1" vm="1">
        <f t="array" ref="CKO3">_xlfn._xlws.FILTER(Rutas,_xlfn._xlws.FILTER($B$2:$B$10000,$B$2:$B$10000&lt;&gt;"")=VALUE(INDEX(IdClientes,MATCH(CKO2,Clientes,0))))</f>
        <v>#VALUE!</v>
      </c>
      <c r="CKP3" s="28" t="e" cm="1" vm="1">
        <f t="array" ref="CKP3">_xlfn._xlws.FILTER(Rutas,_xlfn._xlws.FILTER($B$2:$B$10000,$B$2:$B$10000&lt;&gt;"")=VALUE(INDEX(IdClientes,MATCH(CKP2,Clientes,0))))</f>
        <v>#VALUE!</v>
      </c>
      <c r="CKQ3" s="28" t="e" cm="1" vm="1">
        <f t="array" ref="CKQ3">_xlfn._xlws.FILTER(Rutas,_xlfn._xlws.FILTER($B$2:$B$10000,$B$2:$B$10000&lt;&gt;"")=VALUE(INDEX(IdClientes,MATCH(CKQ2,Clientes,0))))</f>
        <v>#VALUE!</v>
      </c>
      <c r="CKR3" s="28" t="e" cm="1" vm="1">
        <f t="array" ref="CKR3">_xlfn._xlws.FILTER(Rutas,_xlfn._xlws.FILTER($B$2:$B$10000,$B$2:$B$10000&lt;&gt;"")=VALUE(INDEX(IdClientes,MATCH(CKR2,Clientes,0))))</f>
        <v>#VALUE!</v>
      </c>
      <c r="CKS3" s="28" t="e" cm="1" vm="1">
        <f t="array" ref="CKS3">_xlfn._xlws.FILTER(Rutas,_xlfn._xlws.FILTER($B$2:$B$10000,$B$2:$B$10000&lt;&gt;"")=VALUE(INDEX(IdClientes,MATCH(CKS2,Clientes,0))))</f>
        <v>#VALUE!</v>
      </c>
      <c r="CKT3" s="28" t="e" cm="1" vm="1">
        <f t="array" ref="CKT3">_xlfn._xlws.FILTER(Rutas,_xlfn._xlws.FILTER($B$2:$B$10000,$B$2:$B$10000&lt;&gt;"")=VALUE(INDEX(IdClientes,MATCH(CKT2,Clientes,0))))</f>
        <v>#VALUE!</v>
      </c>
      <c r="CKU3" s="28" t="e" cm="1" vm="1">
        <f t="array" ref="CKU3">_xlfn._xlws.FILTER(Rutas,_xlfn._xlws.FILTER($B$2:$B$10000,$B$2:$B$10000&lt;&gt;"")=VALUE(INDEX(IdClientes,MATCH(CKU2,Clientes,0))))</f>
        <v>#VALUE!</v>
      </c>
      <c r="CKV3" s="28" t="e" cm="1" vm="1">
        <f t="array" ref="CKV3">_xlfn._xlws.FILTER(Rutas,_xlfn._xlws.FILTER($B$2:$B$10000,$B$2:$B$10000&lt;&gt;"")=VALUE(INDEX(IdClientes,MATCH(CKV2,Clientes,0))))</f>
        <v>#VALUE!</v>
      </c>
      <c r="CKW3" s="28" t="e" cm="1" vm="1">
        <f t="array" ref="CKW3">_xlfn._xlws.FILTER(Rutas,_xlfn._xlws.FILTER($B$2:$B$10000,$B$2:$B$10000&lt;&gt;"")=VALUE(INDEX(IdClientes,MATCH(CKW2,Clientes,0))))</f>
        <v>#VALUE!</v>
      </c>
      <c r="CKX3" s="28" t="e" cm="1" vm="1">
        <f t="array" ref="CKX3">_xlfn._xlws.FILTER(Rutas,_xlfn._xlws.FILTER($B$2:$B$10000,$B$2:$B$10000&lt;&gt;"")=VALUE(INDEX(IdClientes,MATCH(CKX2,Clientes,0))))</f>
        <v>#VALUE!</v>
      </c>
      <c r="CKY3" s="28" t="e" cm="1" vm="1">
        <f t="array" ref="CKY3">_xlfn._xlws.FILTER(Rutas,_xlfn._xlws.FILTER($B$2:$B$10000,$B$2:$B$10000&lt;&gt;"")=VALUE(INDEX(IdClientes,MATCH(CKY2,Clientes,0))))</f>
        <v>#VALUE!</v>
      </c>
      <c r="CKZ3" s="28" t="e" cm="1" vm="1">
        <f t="array" ref="CKZ3">_xlfn._xlws.FILTER(Rutas,_xlfn._xlws.FILTER($B$2:$B$10000,$B$2:$B$10000&lt;&gt;"")=VALUE(INDEX(IdClientes,MATCH(CKZ2,Clientes,0))))</f>
        <v>#VALUE!</v>
      </c>
      <c r="CLA3" s="28" t="e" cm="1" vm="1">
        <f t="array" ref="CLA3">_xlfn._xlws.FILTER(Rutas,_xlfn._xlws.FILTER($B$2:$B$10000,$B$2:$B$10000&lt;&gt;"")=VALUE(INDEX(IdClientes,MATCH(CLA2,Clientes,0))))</f>
        <v>#VALUE!</v>
      </c>
      <c r="CLB3" s="28" t="e" cm="1" vm="1">
        <f t="array" ref="CLB3">_xlfn._xlws.FILTER(Rutas,_xlfn._xlws.FILTER($B$2:$B$10000,$B$2:$B$10000&lt;&gt;"")=VALUE(INDEX(IdClientes,MATCH(CLB2,Clientes,0))))</f>
        <v>#VALUE!</v>
      </c>
      <c r="CLC3" s="28" t="e" cm="1" vm="1">
        <f t="array" ref="CLC3">_xlfn._xlws.FILTER(Rutas,_xlfn._xlws.FILTER($B$2:$B$10000,$B$2:$B$10000&lt;&gt;"")=VALUE(INDEX(IdClientes,MATCH(CLC2,Clientes,0))))</f>
        <v>#VALUE!</v>
      </c>
      <c r="CLD3" s="28" t="e" cm="1" vm="1">
        <f t="array" ref="CLD3">_xlfn._xlws.FILTER(Rutas,_xlfn._xlws.FILTER($B$2:$B$10000,$B$2:$B$10000&lt;&gt;"")=VALUE(INDEX(IdClientes,MATCH(CLD2,Clientes,0))))</f>
        <v>#VALUE!</v>
      </c>
      <c r="CLE3" s="28" t="e" cm="1" vm="1">
        <f t="array" ref="CLE3">_xlfn._xlws.FILTER(Rutas,_xlfn._xlws.FILTER($B$2:$B$10000,$B$2:$B$10000&lt;&gt;"")=VALUE(INDEX(IdClientes,MATCH(CLE2,Clientes,0))))</f>
        <v>#VALUE!</v>
      </c>
      <c r="CLF3" s="28" t="e" cm="1" vm="1">
        <f t="array" ref="CLF3">_xlfn._xlws.FILTER(Rutas,_xlfn._xlws.FILTER($B$2:$B$10000,$B$2:$B$10000&lt;&gt;"")=VALUE(INDEX(IdClientes,MATCH(CLF2,Clientes,0))))</f>
        <v>#VALUE!</v>
      </c>
      <c r="CLG3" s="28" t="e" cm="1" vm="1">
        <f t="array" ref="CLG3">_xlfn._xlws.FILTER(Rutas,_xlfn._xlws.FILTER($B$2:$B$10000,$B$2:$B$10000&lt;&gt;"")=VALUE(INDEX(IdClientes,MATCH(CLG2,Clientes,0))))</f>
        <v>#VALUE!</v>
      </c>
      <c r="CLH3" s="28" t="e" cm="1" vm="1">
        <f t="array" ref="CLH3">_xlfn._xlws.FILTER(Rutas,_xlfn._xlws.FILTER($B$2:$B$10000,$B$2:$B$10000&lt;&gt;"")=VALUE(INDEX(IdClientes,MATCH(CLH2,Clientes,0))))</f>
        <v>#VALUE!</v>
      </c>
      <c r="CLI3" s="28" t="e" cm="1" vm="1">
        <f t="array" ref="CLI3">_xlfn._xlws.FILTER(Rutas,_xlfn._xlws.FILTER($B$2:$B$10000,$B$2:$B$10000&lt;&gt;"")=VALUE(INDEX(IdClientes,MATCH(CLI2,Clientes,0))))</f>
        <v>#VALUE!</v>
      </c>
      <c r="CLJ3" s="28" t="e" cm="1" vm="1">
        <f t="array" ref="CLJ3">_xlfn._xlws.FILTER(Rutas,_xlfn._xlws.FILTER($B$2:$B$10000,$B$2:$B$10000&lt;&gt;"")=VALUE(INDEX(IdClientes,MATCH(CLJ2,Clientes,0))))</f>
        <v>#VALUE!</v>
      </c>
      <c r="CLK3" s="28" t="e" cm="1" vm="1">
        <f t="array" ref="CLK3">_xlfn._xlws.FILTER(Rutas,_xlfn._xlws.FILTER($B$2:$B$10000,$B$2:$B$10000&lt;&gt;"")=VALUE(INDEX(IdClientes,MATCH(CLK2,Clientes,0))))</f>
        <v>#VALUE!</v>
      </c>
      <c r="CLL3" s="28" t="e" cm="1" vm="1">
        <f t="array" ref="CLL3">_xlfn._xlws.FILTER(Rutas,_xlfn._xlws.FILTER($B$2:$B$10000,$B$2:$B$10000&lt;&gt;"")=VALUE(INDEX(IdClientes,MATCH(CLL2,Clientes,0))))</f>
        <v>#VALUE!</v>
      </c>
      <c r="CLM3" s="28" t="e" cm="1" vm="1">
        <f t="array" ref="CLM3">_xlfn._xlws.FILTER(Rutas,_xlfn._xlws.FILTER($B$2:$B$10000,$B$2:$B$10000&lt;&gt;"")=VALUE(INDEX(IdClientes,MATCH(CLM2,Clientes,0))))</f>
        <v>#VALUE!</v>
      </c>
      <c r="CLN3" s="28" t="e" cm="1" vm="1">
        <f t="array" ref="CLN3">_xlfn._xlws.FILTER(Rutas,_xlfn._xlws.FILTER($B$2:$B$10000,$B$2:$B$10000&lt;&gt;"")=VALUE(INDEX(IdClientes,MATCH(CLN2,Clientes,0))))</f>
        <v>#VALUE!</v>
      </c>
      <c r="CLO3" s="28" t="e" cm="1" vm="1">
        <f t="array" ref="CLO3">_xlfn._xlws.FILTER(Rutas,_xlfn._xlws.FILTER($B$2:$B$10000,$B$2:$B$10000&lt;&gt;"")=VALUE(INDEX(IdClientes,MATCH(CLO2,Clientes,0))))</f>
        <v>#VALUE!</v>
      </c>
      <c r="CLP3" s="28" t="e" cm="1" vm="1">
        <f t="array" ref="CLP3">_xlfn._xlws.FILTER(Rutas,_xlfn._xlws.FILTER($B$2:$B$10000,$B$2:$B$10000&lt;&gt;"")=VALUE(INDEX(IdClientes,MATCH(CLP2,Clientes,0))))</f>
        <v>#VALUE!</v>
      </c>
      <c r="CLQ3" s="28" t="e" cm="1" vm="1">
        <f t="array" ref="CLQ3">_xlfn._xlws.FILTER(Rutas,_xlfn._xlws.FILTER($B$2:$B$10000,$B$2:$B$10000&lt;&gt;"")=VALUE(INDEX(IdClientes,MATCH(CLQ2,Clientes,0))))</f>
        <v>#VALUE!</v>
      </c>
      <c r="CLR3" s="28" t="e" cm="1" vm="1">
        <f t="array" ref="CLR3">_xlfn._xlws.FILTER(Rutas,_xlfn._xlws.FILTER($B$2:$B$10000,$B$2:$B$10000&lt;&gt;"")=VALUE(INDEX(IdClientes,MATCH(CLR2,Clientes,0))))</f>
        <v>#VALUE!</v>
      </c>
      <c r="CLS3" s="28" t="e" cm="1" vm="1">
        <f t="array" ref="CLS3">_xlfn._xlws.FILTER(Rutas,_xlfn._xlws.FILTER($B$2:$B$10000,$B$2:$B$10000&lt;&gt;"")=VALUE(INDEX(IdClientes,MATCH(CLS2,Clientes,0))))</f>
        <v>#VALUE!</v>
      </c>
      <c r="CLT3" s="28" t="e" cm="1" vm="1">
        <f t="array" ref="CLT3">_xlfn._xlws.FILTER(Rutas,_xlfn._xlws.FILTER($B$2:$B$10000,$B$2:$B$10000&lt;&gt;"")=VALUE(INDEX(IdClientes,MATCH(CLT2,Clientes,0))))</f>
        <v>#VALUE!</v>
      </c>
      <c r="CLU3" s="28" t="e" cm="1" vm="1">
        <f t="array" ref="CLU3">_xlfn._xlws.FILTER(Rutas,_xlfn._xlws.FILTER($B$2:$B$10000,$B$2:$B$10000&lt;&gt;"")=VALUE(INDEX(IdClientes,MATCH(CLU2,Clientes,0))))</f>
        <v>#VALUE!</v>
      </c>
      <c r="CLV3" s="28" t="e" cm="1" vm="1">
        <f t="array" ref="CLV3">_xlfn._xlws.FILTER(Rutas,_xlfn._xlws.FILTER($B$2:$B$10000,$B$2:$B$10000&lt;&gt;"")=VALUE(INDEX(IdClientes,MATCH(CLV2,Clientes,0))))</f>
        <v>#VALUE!</v>
      </c>
      <c r="CLW3" s="28" t="e" cm="1" vm="1">
        <f t="array" ref="CLW3">_xlfn._xlws.FILTER(Rutas,_xlfn._xlws.FILTER($B$2:$B$10000,$B$2:$B$10000&lt;&gt;"")=VALUE(INDEX(IdClientes,MATCH(CLW2,Clientes,0))))</f>
        <v>#VALUE!</v>
      </c>
      <c r="CLX3" s="28" t="e" cm="1" vm="1">
        <f t="array" ref="CLX3">_xlfn._xlws.FILTER(Rutas,_xlfn._xlws.FILTER($B$2:$B$10000,$B$2:$B$10000&lt;&gt;"")=VALUE(INDEX(IdClientes,MATCH(CLX2,Clientes,0))))</f>
        <v>#VALUE!</v>
      </c>
      <c r="CLY3" s="28" t="e" cm="1" vm="1">
        <f t="array" ref="CLY3">_xlfn._xlws.FILTER(Rutas,_xlfn._xlws.FILTER($B$2:$B$10000,$B$2:$B$10000&lt;&gt;"")=VALUE(INDEX(IdClientes,MATCH(CLY2,Clientes,0))))</f>
        <v>#VALUE!</v>
      </c>
      <c r="CLZ3" s="28" t="e" cm="1" vm="1">
        <f t="array" ref="CLZ3">_xlfn._xlws.FILTER(Rutas,_xlfn._xlws.FILTER($B$2:$B$10000,$B$2:$B$10000&lt;&gt;"")=VALUE(INDEX(IdClientes,MATCH(CLZ2,Clientes,0))))</f>
        <v>#VALUE!</v>
      </c>
      <c r="CMA3" s="28" t="e" cm="1" vm="1">
        <f t="array" ref="CMA3">_xlfn._xlws.FILTER(Rutas,_xlfn._xlws.FILTER($B$2:$B$10000,$B$2:$B$10000&lt;&gt;"")=VALUE(INDEX(IdClientes,MATCH(CMA2,Clientes,0))))</f>
        <v>#VALUE!</v>
      </c>
      <c r="CMB3" s="28" t="e" cm="1" vm="1">
        <f t="array" ref="CMB3">_xlfn._xlws.FILTER(Rutas,_xlfn._xlws.FILTER($B$2:$B$10000,$B$2:$B$10000&lt;&gt;"")=VALUE(INDEX(IdClientes,MATCH(CMB2,Clientes,0))))</f>
        <v>#VALUE!</v>
      </c>
      <c r="CMC3" s="28" t="e" cm="1" vm="1">
        <f t="array" ref="CMC3">_xlfn._xlws.FILTER(Rutas,_xlfn._xlws.FILTER($B$2:$B$10000,$B$2:$B$10000&lt;&gt;"")=VALUE(INDEX(IdClientes,MATCH(CMC2,Clientes,0))))</f>
        <v>#VALUE!</v>
      </c>
      <c r="CMD3" s="28" t="e" cm="1" vm="1">
        <f t="array" ref="CMD3">_xlfn._xlws.FILTER(Rutas,_xlfn._xlws.FILTER($B$2:$B$10000,$B$2:$B$10000&lt;&gt;"")=VALUE(INDEX(IdClientes,MATCH(CMD2,Clientes,0))))</f>
        <v>#VALUE!</v>
      </c>
      <c r="CME3" s="28" t="e" cm="1" vm="1">
        <f t="array" ref="CME3">_xlfn._xlws.FILTER(Rutas,_xlfn._xlws.FILTER($B$2:$B$10000,$B$2:$B$10000&lt;&gt;"")=VALUE(INDEX(IdClientes,MATCH(CME2,Clientes,0))))</f>
        <v>#VALUE!</v>
      </c>
      <c r="CMF3" s="28" t="e" cm="1" vm="1">
        <f t="array" ref="CMF3">_xlfn._xlws.FILTER(Rutas,_xlfn._xlws.FILTER($B$2:$B$10000,$B$2:$B$10000&lt;&gt;"")=VALUE(INDEX(IdClientes,MATCH(CMF2,Clientes,0))))</f>
        <v>#VALUE!</v>
      </c>
      <c r="CMG3" s="28" t="e" cm="1" vm="1">
        <f t="array" ref="CMG3">_xlfn._xlws.FILTER(Rutas,_xlfn._xlws.FILTER($B$2:$B$10000,$B$2:$B$10000&lt;&gt;"")=VALUE(INDEX(IdClientes,MATCH(CMG2,Clientes,0))))</f>
        <v>#VALUE!</v>
      </c>
      <c r="CMH3" s="28" t="e" cm="1" vm="1">
        <f t="array" ref="CMH3">_xlfn._xlws.FILTER(Rutas,_xlfn._xlws.FILTER($B$2:$B$10000,$B$2:$B$10000&lt;&gt;"")=VALUE(INDEX(IdClientes,MATCH(CMH2,Clientes,0))))</f>
        <v>#VALUE!</v>
      </c>
      <c r="CMI3" s="28" t="e" cm="1" vm="1">
        <f t="array" ref="CMI3">_xlfn._xlws.FILTER(Rutas,_xlfn._xlws.FILTER($B$2:$B$10000,$B$2:$B$10000&lt;&gt;"")=VALUE(INDEX(IdClientes,MATCH(CMI2,Clientes,0))))</f>
        <v>#VALUE!</v>
      </c>
      <c r="CMJ3" s="28" t="e" cm="1" vm="1">
        <f t="array" ref="CMJ3">_xlfn._xlws.FILTER(Rutas,_xlfn._xlws.FILTER($B$2:$B$10000,$B$2:$B$10000&lt;&gt;"")=VALUE(INDEX(IdClientes,MATCH(CMJ2,Clientes,0))))</f>
        <v>#VALUE!</v>
      </c>
      <c r="CMK3" s="28" t="e" cm="1" vm="1">
        <f t="array" ref="CMK3">_xlfn._xlws.FILTER(Rutas,_xlfn._xlws.FILTER($B$2:$B$10000,$B$2:$B$10000&lt;&gt;"")=VALUE(INDEX(IdClientes,MATCH(CMK2,Clientes,0))))</f>
        <v>#VALUE!</v>
      </c>
      <c r="CML3" s="28" t="e" cm="1" vm="1">
        <f t="array" ref="CML3">_xlfn._xlws.FILTER(Rutas,_xlfn._xlws.FILTER($B$2:$B$10000,$B$2:$B$10000&lt;&gt;"")=VALUE(INDEX(IdClientes,MATCH(CML2,Clientes,0))))</f>
        <v>#VALUE!</v>
      </c>
      <c r="CMM3" s="28" t="e" cm="1" vm="1">
        <f t="array" ref="CMM3">_xlfn._xlws.FILTER(Rutas,_xlfn._xlws.FILTER($B$2:$B$10000,$B$2:$B$10000&lt;&gt;"")=VALUE(INDEX(IdClientes,MATCH(CMM2,Clientes,0))))</f>
        <v>#VALUE!</v>
      </c>
      <c r="CMN3" s="28" t="e" cm="1" vm="1">
        <f t="array" ref="CMN3">_xlfn._xlws.FILTER(Rutas,_xlfn._xlws.FILTER($B$2:$B$10000,$B$2:$B$10000&lt;&gt;"")=VALUE(INDEX(IdClientes,MATCH(CMN2,Clientes,0))))</f>
        <v>#VALUE!</v>
      </c>
      <c r="CMO3" s="28" t="e" cm="1" vm="1">
        <f t="array" ref="CMO3">_xlfn._xlws.FILTER(Rutas,_xlfn._xlws.FILTER($B$2:$B$10000,$B$2:$B$10000&lt;&gt;"")=VALUE(INDEX(IdClientes,MATCH(CMO2,Clientes,0))))</f>
        <v>#VALUE!</v>
      </c>
      <c r="CMP3" s="28" t="e" cm="1" vm="1">
        <f t="array" ref="CMP3">_xlfn._xlws.FILTER(Rutas,_xlfn._xlws.FILTER($B$2:$B$10000,$B$2:$B$10000&lt;&gt;"")=VALUE(INDEX(IdClientes,MATCH(CMP2,Clientes,0))))</f>
        <v>#VALUE!</v>
      </c>
      <c r="CMQ3" s="28" t="e" cm="1" vm="1">
        <f t="array" ref="CMQ3">_xlfn._xlws.FILTER(Rutas,_xlfn._xlws.FILTER($B$2:$B$10000,$B$2:$B$10000&lt;&gt;"")=VALUE(INDEX(IdClientes,MATCH(CMQ2,Clientes,0))))</f>
        <v>#VALUE!</v>
      </c>
      <c r="CMR3" s="28" t="e" cm="1" vm="1">
        <f t="array" ref="CMR3">_xlfn._xlws.FILTER(Rutas,_xlfn._xlws.FILTER($B$2:$B$10000,$B$2:$B$10000&lt;&gt;"")=VALUE(INDEX(IdClientes,MATCH(CMR2,Clientes,0))))</f>
        <v>#VALUE!</v>
      </c>
      <c r="CMS3" s="28" t="e" cm="1" vm="1">
        <f t="array" ref="CMS3">_xlfn._xlws.FILTER(Rutas,_xlfn._xlws.FILTER($B$2:$B$10000,$B$2:$B$10000&lt;&gt;"")=VALUE(INDEX(IdClientes,MATCH(CMS2,Clientes,0))))</f>
        <v>#VALUE!</v>
      </c>
      <c r="CMT3" s="28" t="e" cm="1" vm="1">
        <f t="array" ref="CMT3">_xlfn._xlws.FILTER(Rutas,_xlfn._xlws.FILTER($B$2:$B$10000,$B$2:$B$10000&lt;&gt;"")=VALUE(INDEX(IdClientes,MATCH(CMT2,Clientes,0))))</f>
        <v>#VALUE!</v>
      </c>
      <c r="CMU3" s="28" t="e" cm="1" vm="1">
        <f t="array" ref="CMU3">_xlfn._xlws.FILTER(Rutas,_xlfn._xlws.FILTER($B$2:$B$10000,$B$2:$B$10000&lt;&gt;"")=VALUE(INDEX(IdClientes,MATCH(CMU2,Clientes,0))))</f>
        <v>#VALUE!</v>
      </c>
      <c r="CMV3" s="28" t="e" cm="1" vm="1">
        <f t="array" ref="CMV3">_xlfn._xlws.FILTER(Rutas,_xlfn._xlws.FILTER($B$2:$B$10000,$B$2:$B$10000&lt;&gt;"")=VALUE(INDEX(IdClientes,MATCH(CMV2,Clientes,0))))</f>
        <v>#VALUE!</v>
      </c>
      <c r="CMW3" s="28" t="e" cm="1" vm="1">
        <f t="array" ref="CMW3">_xlfn._xlws.FILTER(Rutas,_xlfn._xlws.FILTER($B$2:$B$10000,$B$2:$B$10000&lt;&gt;"")=VALUE(INDEX(IdClientes,MATCH(CMW2,Clientes,0))))</f>
        <v>#VALUE!</v>
      </c>
      <c r="CMX3" s="28" t="e" cm="1" vm="1">
        <f t="array" ref="CMX3">_xlfn._xlws.FILTER(Rutas,_xlfn._xlws.FILTER($B$2:$B$10000,$B$2:$B$10000&lt;&gt;"")=VALUE(INDEX(IdClientes,MATCH(CMX2,Clientes,0))))</f>
        <v>#VALUE!</v>
      </c>
      <c r="CMY3" s="28" t="e" cm="1" vm="1">
        <f t="array" ref="CMY3">_xlfn._xlws.FILTER(Rutas,_xlfn._xlws.FILTER($B$2:$B$10000,$B$2:$B$10000&lt;&gt;"")=VALUE(INDEX(IdClientes,MATCH(CMY2,Clientes,0))))</f>
        <v>#VALUE!</v>
      </c>
      <c r="CMZ3" s="28" t="e" cm="1" vm="1">
        <f t="array" ref="CMZ3">_xlfn._xlws.FILTER(Rutas,_xlfn._xlws.FILTER($B$2:$B$10000,$B$2:$B$10000&lt;&gt;"")=VALUE(INDEX(IdClientes,MATCH(CMZ2,Clientes,0))))</f>
        <v>#VALUE!</v>
      </c>
      <c r="CNA3" s="28" t="e" cm="1" vm="1">
        <f t="array" ref="CNA3">_xlfn._xlws.FILTER(Rutas,_xlfn._xlws.FILTER($B$2:$B$10000,$B$2:$B$10000&lt;&gt;"")=VALUE(INDEX(IdClientes,MATCH(CNA2,Clientes,0))))</f>
        <v>#VALUE!</v>
      </c>
      <c r="CNB3" s="28" t="e" cm="1" vm="1">
        <f t="array" ref="CNB3">_xlfn._xlws.FILTER(Rutas,_xlfn._xlws.FILTER($B$2:$B$10000,$B$2:$B$10000&lt;&gt;"")=VALUE(INDEX(IdClientes,MATCH(CNB2,Clientes,0))))</f>
        <v>#VALUE!</v>
      </c>
      <c r="CNC3" s="28" t="e" cm="1" vm="1">
        <f t="array" ref="CNC3">_xlfn._xlws.FILTER(Rutas,_xlfn._xlws.FILTER($B$2:$B$10000,$B$2:$B$10000&lt;&gt;"")=VALUE(INDEX(IdClientes,MATCH(CNC2,Clientes,0))))</f>
        <v>#VALUE!</v>
      </c>
      <c r="CND3" s="28" t="e" cm="1" vm="1">
        <f t="array" ref="CND3">_xlfn._xlws.FILTER(Rutas,_xlfn._xlws.FILTER($B$2:$B$10000,$B$2:$B$10000&lt;&gt;"")=VALUE(INDEX(IdClientes,MATCH(CND2,Clientes,0))))</f>
        <v>#VALUE!</v>
      </c>
      <c r="CNE3" s="28" t="e" cm="1" vm="1">
        <f t="array" ref="CNE3">_xlfn._xlws.FILTER(Rutas,_xlfn._xlws.FILTER($B$2:$B$10000,$B$2:$B$10000&lt;&gt;"")=VALUE(INDEX(IdClientes,MATCH(CNE2,Clientes,0))))</f>
        <v>#VALUE!</v>
      </c>
      <c r="CNF3" s="28" t="e" cm="1" vm="1">
        <f t="array" ref="CNF3">_xlfn._xlws.FILTER(Rutas,_xlfn._xlws.FILTER($B$2:$B$10000,$B$2:$B$10000&lt;&gt;"")=VALUE(INDEX(IdClientes,MATCH(CNF2,Clientes,0))))</f>
        <v>#VALUE!</v>
      </c>
      <c r="CNG3" s="28" t="e" cm="1" vm="1">
        <f t="array" ref="CNG3">_xlfn._xlws.FILTER(Rutas,_xlfn._xlws.FILTER($B$2:$B$10000,$B$2:$B$10000&lt;&gt;"")=VALUE(INDEX(IdClientes,MATCH(CNG2,Clientes,0))))</f>
        <v>#VALUE!</v>
      </c>
      <c r="CNH3" s="28" t="e" cm="1" vm="1">
        <f t="array" ref="CNH3">_xlfn._xlws.FILTER(Rutas,_xlfn._xlws.FILTER($B$2:$B$10000,$B$2:$B$10000&lt;&gt;"")=VALUE(INDEX(IdClientes,MATCH(CNH2,Clientes,0))))</f>
        <v>#VALUE!</v>
      </c>
      <c r="CNI3" s="28" t="e" cm="1" vm="1">
        <f t="array" ref="CNI3">_xlfn._xlws.FILTER(Rutas,_xlfn._xlws.FILTER($B$2:$B$10000,$B$2:$B$10000&lt;&gt;"")=VALUE(INDEX(IdClientes,MATCH(CNI2,Clientes,0))))</f>
        <v>#VALUE!</v>
      </c>
      <c r="CNJ3" s="28" t="e" cm="1" vm="1">
        <f t="array" ref="CNJ3">_xlfn._xlws.FILTER(Rutas,_xlfn._xlws.FILTER($B$2:$B$10000,$B$2:$B$10000&lt;&gt;"")=VALUE(INDEX(IdClientes,MATCH(CNJ2,Clientes,0))))</f>
        <v>#VALUE!</v>
      </c>
      <c r="CNK3" s="28" t="e" cm="1" vm="1">
        <f t="array" ref="CNK3">_xlfn._xlws.FILTER(Rutas,_xlfn._xlws.FILTER($B$2:$B$10000,$B$2:$B$10000&lt;&gt;"")=VALUE(INDEX(IdClientes,MATCH(CNK2,Clientes,0))))</f>
        <v>#VALUE!</v>
      </c>
      <c r="CNL3" s="28" t="e" cm="1" vm="1">
        <f t="array" ref="CNL3">_xlfn._xlws.FILTER(Rutas,_xlfn._xlws.FILTER($B$2:$B$10000,$B$2:$B$10000&lt;&gt;"")=VALUE(INDEX(IdClientes,MATCH(CNL2,Clientes,0))))</f>
        <v>#VALUE!</v>
      </c>
      <c r="CNM3" s="28" t="e" cm="1" vm="1">
        <f t="array" ref="CNM3">_xlfn._xlws.FILTER(Rutas,_xlfn._xlws.FILTER($B$2:$B$10000,$B$2:$B$10000&lt;&gt;"")=VALUE(INDEX(IdClientes,MATCH(CNM2,Clientes,0))))</f>
        <v>#VALUE!</v>
      </c>
      <c r="CNN3" s="28" t="e" cm="1" vm="1">
        <f t="array" ref="CNN3">_xlfn._xlws.FILTER(Rutas,_xlfn._xlws.FILTER($B$2:$B$10000,$B$2:$B$10000&lt;&gt;"")=VALUE(INDEX(IdClientes,MATCH(CNN2,Clientes,0))))</f>
        <v>#VALUE!</v>
      </c>
      <c r="CNO3" s="28" t="e" cm="1" vm="1">
        <f t="array" ref="CNO3">_xlfn._xlws.FILTER(Rutas,_xlfn._xlws.FILTER($B$2:$B$10000,$B$2:$B$10000&lt;&gt;"")=VALUE(INDEX(IdClientes,MATCH(CNO2,Clientes,0))))</f>
        <v>#VALUE!</v>
      </c>
      <c r="CNP3" s="28" t="e" cm="1" vm="1">
        <f t="array" ref="CNP3">_xlfn._xlws.FILTER(Rutas,_xlfn._xlws.FILTER($B$2:$B$10000,$B$2:$B$10000&lt;&gt;"")=VALUE(INDEX(IdClientes,MATCH(CNP2,Clientes,0))))</f>
        <v>#VALUE!</v>
      </c>
      <c r="CNQ3" s="28" t="e" cm="1" vm="1">
        <f t="array" ref="CNQ3">_xlfn._xlws.FILTER(Rutas,_xlfn._xlws.FILTER($B$2:$B$10000,$B$2:$B$10000&lt;&gt;"")=VALUE(INDEX(IdClientes,MATCH(CNQ2,Clientes,0))))</f>
        <v>#VALUE!</v>
      </c>
      <c r="CNR3" s="28" t="e" cm="1" vm="1">
        <f t="array" ref="CNR3">_xlfn._xlws.FILTER(Rutas,_xlfn._xlws.FILTER($B$2:$B$10000,$B$2:$B$10000&lt;&gt;"")=VALUE(INDEX(IdClientes,MATCH(CNR2,Clientes,0))))</f>
        <v>#VALUE!</v>
      </c>
      <c r="CNS3" s="28" t="e" cm="1" vm="1">
        <f t="array" ref="CNS3">_xlfn._xlws.FILTER(Rutas,_xlfn._xlws.FILTER($B$2:$B$10000,$B$2:$B$10000&lt;&gt;"")=VALUE(INDEX(IdClientes,MATCH(CNS2,Clientes,0))))</f>
        <v>#VALUE!</v>
      </c>
      <c r="CNT3" s="28" t="e" cm="1" vm="1">
        <f t="array" ref="CNT3">_xlfn._xlws.FILTER(Rutas,_xlfn._xlws.FILTER($B$2:$B$10000,$B$2:$B$10000&lt;&gt;"")=VALUE(INDEX(IdClientes,MATCH(CNT2,Clientes,0))))</f>
        <v>#VALUE!</v>
      </c>
      <c r="CNU3" s="28" t="e" cm="1" vm="1">
        <f t="array" ref="CNU3">_xlfn._xlws.FILTER(Rutas,_xlfn._xlws.FILTER($B$2:$B$10000,$B$2:$B$10000&lt;&gt;"")=VALUE(INDEX(IdClientes,MATCH(CNU2,Clientes,0))))</f>
        <v>#VALUE!</v>
      </c>
      <c r="CNV3" s="28" t="e" cm="1" vm="1">
        <f t="array" ref="CNV3">_xlfn._xlws.FILTER(Rutas,_xlfn._xlws.FILTER($B$2:$B$10000,$B$2:$B$10000&lt;&gt;"")=VALUE(INDEX(IdClientes,MATCH(CNV2,Clientes,0))))</f>
        <v>#VALUE!</v>
      </c>
      <c r="CNW3" s="28" t="e" cm="1" vm="1">
        <f t="array" ref="CNW3">_xlfn._xlws.FILTER(Rutas,_xlfn._xlws.FILTER($B$2:$B$10000,$B$2:$B$10000&lt;&gt;"")=VALUE(INDEX(IdClientes,MATCH(CNW2,Clientes,0))))</f>
        <v>#VALUE!</v>
      </c>
      <c r="CNX3" s="28" t="e" cm="1" vm="1">
        <f t="array" ref="CNX3">_xlfn._xlws.FILTER(Rutas,_xlfn._xlws.FILTER($B$2:$B$10000,$B$2:$B$10000&lt;&gt;"")=VALUE(INDEX(IdClientes,MATCH(CNX2,Clientes,0))))</f>
        <v>#VALUE!</v>
      </c>
      <c r="CNY3" s="28" t="e" cm="1" vm="1">
        <f t="array" ref="CNY3">_xlfn._xlws.FILTER(Rutas,_xlfn._xlws.FILTER($B$2:$B$10000,$B$2:$B$10000&lt;&gt;"")=VALUE(INDEX(IdClientes,MATCH(CNY2,Clientes,0))))</f>
        <v>#VALUE!</v>
      </c>
      <c r="CNZ3" s="28" t="e" cm="1" vm="1">
        <f t="array" ref="CNZ3">_xlfn._xlws.FILTER(Rutas,_xlfn._xlws.FILTER($B$2:$B$10000,$B$2:$B$10000&lt;&gt;"")=VALUE(INDEX(IdClientes,MATCH(CNZ2,Clientes,0))))</f>
        <v>#VALUE!</v>
      </c>
      <c r="COA3" s="28" t="e" cm="1" vm="1">
        <f t="array" ref="COA3">_xlfn._xlws.FILTER(Rutas,_xlfn._xlws.FILTER($B$2:$B$10000,$B$2:$B$10000&lt;&gt;"")=VALUE(INDEX(IdClientes,MATCH(COA2,Clientes,0))))</f>
        <v>#VALUE!</v>
      </c>
      <c r="COB3" s="28" t="e" cm="1" vm="1">
        <f t="array" ref="COB3">_xlfn._xlws.FILTER(Rutas,_xlfn._xlws.FILTER($B$2:$B$10000,$B$2:$B$10000&lt;&gt;"")=VALUE(INDEX(IdClientes,MATCH(COB2,Clientes,0))))</f>
        <v>#VALUE!</v>
      </c>
      <c r="COC3" s="28" t="e" cm="1" vm="1">
        <f t="array" ref="COC3">_xlfn._xlws.FILTER(Rutas,_xlfn._xlws.FILTER($B$2:$B$10000,$B$2:$B$10000&lt;&gt;"")=VALUE(INDEX(IdClientes,MATCH(COC2,Clientes,0))))</f>
        <v>#VALUE!</v>
      </c>
      <c r="COD3" s="28" t="e" cm="1" vm="1">
        <f t="array" ref="COD3">_xlfn._xlws.FILTER(Rutas,_xlfn._xlws.FILTER($B$2:$B$10000,$B$2:$B$10000&lt;&gt;"")=VALUE(INDEX(IdClientes,MATCH(COD2,Clientes,0))))</f>
        <v>#VALUE!</v>
      </c>
      <c r="COE3" s="28" t="e" cm="1" vm="1">
        <f t="array" ref="COE3">_xlfn._xlws.FILTER(Rutas,_xlfn._xlws.FILTER($B$2:$B$10000,$B$2:$B$10000&lt;&gt;"")=VALUE(INDEX(IdClientes,MATCH(COE2,Clientes,0))))</f>
        <v>#VALUE!</v>
      </c>
      <c r="COF3" s="28" t="e" cm="1" vm="1">
        <f t="array" ref="COF3">_xlfn._xlws.FILTER(Rutas,_xlfn._xlws.FILTER($B$2:$B$10000,$B$2:$B$10000&lt;&gt;"")=VALUE(INDEX(IdClientes,MATCH(COF2,Clientes,0))))</f>
        <v>#VALUE!</v>
      </c>
      <c r="COG3" s="28" t="e" cm="1" vm="1">
        <f t="array" ref="COG3">_xlfn._xlws.FILTER(Rutas,_xlfn._xlws.FILTER($B$2:$B$10000,$B$2:$B$10000&lt;&gt;"")=VALUE(INDEX(IdClientes,MATCH(COG2,Clientes,0))))</f>
        <v>#VALUE!</v>
      </c>
      <c r="COH3" s="28" t="e" cm="1" vm="1">
        <f t="array" ref="COH3">_xlfn._xlws.FILTER(Rutas,_xlfn._xlws.FILTER($B$2:$B$10000,$B$2:$B$10000&lt;&gt;"")=VALUE(INDEX(IdClientes,MATCH(COH2,Clientes,0))))</f>
        <v>#VALUE!</v>
      </c>
      <c r="COI3" s="28" t="e" cm="1" vm="1">
        <f t="array" ref="COI3">_xlfn._xlws.FILTER(Rutas,_xlfn._xlws.FILTER($B$2:$B$10000,$B$2:$B$10000&lt;&gt;"")=VALUE(INDEX(IdClientes,MATCH(COI2,Clientes,0))))</f>
        <v>#VALUE!</v>
      </c>
      <c r="COJ3" s="28" t="e" cm="1" vm="1">
        <f t="array" ref="COJ3">_xlfn._xlws.FILTER(Rutas,_xlfn._xlws.FILTER($B$2:$B$10000,$B$2:$B$10000&lt;&gt;"")=VALUE(INDEX(IdClientes,MATCH(COJ2,Clientes,0))))</f>
        <v>#VALUE!</v>
      </c>
      <c r="COK3" s="28" t="e" cm="1" vm="1">
        <f t="array" ref="COK3">_xlfn._xlws.FILTER(Rutas,_xlfn._xlws.FILTER($B$2:$B$10000,$B$2:$B$10000&lt;&gt;"")=VALUE(INDEX(IdClientes,MATCH(COK2,Clientes,0))))</f>
        <v>#VALUE!</v>
      </c>
      <c r="COL3" s="28" t="e" cm="1" vm="1">
        <f t="array" ref="COL3">_xlfn._xlws.FILTER(Rutas,_xlfn._xlws.FILTER($B$2:$B$10000,$B$2:$B$10000&lt;&gt;"")=VALUE(INDEX(IdClientes,MATCH(COL2,Clientes,0))))</f>
        <v>#VALUE!</v>
      </c>
      <c r="COM3" s="28" t="e" cm="1" vm="1">
        <f t="array" ref="COM3">_xlfn._xlws.FILTER(Rutas,_xlfn._xlws.FILTER($B$2:$B$10000,$B$2:$B$10000&lt;&gt;"")=VALUE(INDEX(IdClientes,MATCH(COM2,Clientes,0))))</f>
        <v>#VALUE!</v>
      </c>
      <c r="CON3" s="28" t="e" cm="1" vm="1">
        <f t="array" ref="CON3">_xlfn._xlws.FILTER(Rutas,_xlfn._xlws.FILTER($B$2:$B$10000,$B$2:$B$10000&lt;&gt;"")=VALUE(INDEX(IdClientes,MATCH(CON2,Clientes,0))))</f>
        <v>#VALUE!</v>
      </c>
      <c r="COO3" s="28" t="e" cm="1" vm="1">
        <f t="array" ref="COO3">_xlfn._xlws.FILTER(Rutas,_xlfn._xlws.FILTER($B$2:$B$10000,$B$2:$B$10000&lt;&gt;"")=VALUE(INDEX(IdClientes,MATCH(COO2,Clientes,0))))</f>
        <v>#VALUE!</v>
      </c>
      <c r="COP3" s="28" t="e" cm="1" vm="1">
        <f t="array" ref="COP3">_xlfn._xlws.FILTER(Rutas,_xlfn._xlws.FILTER($B$2:$B$10000,$B$2:$B$10000&lt;&gt;"")=VALUE(INDEX(IdClientes,MATCH(COP2,Clientes,0))))</f>
        <v>#VALUE!</v>
      </c>
      <c r="COQ3" s="28" t="e" cm="1" vm="1">
        <f t="array" ref="COQ3">_xlfn._xlws.FILTER(Rutas,_xlfn._xlws.FILTER($B$2:$B$10000,$B$2:$B$10000&lt;&gt;"")=VALUE(INDEX(IdClientes,MATCH(COQ2,Clientes,0))))</f>
        <v>#VALUE!</v>
      </c>
      <c r="COR3" s="28" t="e" cm="1" vm="1">
        <f t="array" ref="COR3">_xlfn._xlws.FILTER(Rutas,_xlfn._xlws.FILTER($B$2:$B$10000,$B$2:$B$10000&lt;&gt;"")=VALUE(INDEX(IdClientes,MATCH(COR2,Clientes,0))))</f>
        <v>#VALUE!</v>
      </c>
      <c r="COS3" s="28" t="e" cm="1" vm="1">
        <f t="array" ref="COS3">_xlfn._xlws.FILTER(Rutas,_xlfn._xlws.FILTER($B$2:$B$10000,$B$2:$B$10000&lt;&gt;"")=VALUE(INDEX(IdClientes,MATCH(COS2,Clientes,0))))</f>
        <v>#VALUE!</v>
      </c>
      <c r="COT3" s="28" t="e" cm="1" vm="1">
        <f t="array" ref="COT3">_xlfn._xlws.FILTER(Rutas,_xlfn._xlws.FILTER($B$2:$B$10000,$B$2:$B$10000&lt;&gt;"")=VALUE(INDEX(IdClientes,MATCH(COT2,Clientes,0))))</f>
        <v>#VALUE!</v>
      </c>
      <c r="COU3" s="28" t="e" cm="1" vm="1">
        <f t="array" ref="COU3">_xlfn._xlws.FILTER(Rutas,_xlfn._xlws.FILTER($B$2:$B$10000,$B$2:$B$10000&lt;&gt;"")=VALUE(INDEX(IdClientes,MATCH(COU2,Clientes,0))))</f>
        <v>#VALUE!</v>
      </c>
      <c r="COV3" s="28" t="e" cm="1" vm="1">
        <f t="array" ref="COV3">_xlfn._xlws.FILTER(Rutas,_xlfn._xlws.FILTER($B$2:$B$10000,$B$2:$B$10000&lt;&gt;"")=VALUE(INDEX(IdClientes,MATCH(COV2,Clientes,0))))</f>
        <v>#VALUE!</v>
      </c>
      <c r="COW3" s="28" t="e" cm="1" vm="1">
        <f t="array" ref="COW3">_xlfn._xlws.FILTER(Rutas,_xlfn._xlws.FILTER($B$2:$B$10000,$B$2:$B$10000&lt;&gt;"")=VALUE(INDEX(IdClientes,MATCH(COW2,Clientes,0))))</f>
        <v>#VALUE!</v>
      </c>
      <c r="COX3" s="28" t="e" cm="1" vm="1">
        <f t="array" ref="COX3">_xlfn._xlws.FILTER(Rutas,_xlfn._xlws.FILTER($B$2:$B$10000,$B$2:$B$10000&lt;&gt;"")=VALUE(INDEX(IdClientes,MATCH(COX2,Clientes,0))))</f>
        <v>#VALUE!</v>
      </c>
      <c r="COY3" s="28" t="e" cm="1" vm="1">
        <f t="array" ref="COY3">_xlfn._xlws.FILTER(Rutas,_xlfn._xlws.FILTER($B$2:$B$10000,$B$2:$B$10000&lt;&gt;"")=VALUE(INDEX(IdClientes,MATCH(COY2,Clientes,0))))</f>
        <v>#VALUE!</v>
      </c>
      <c r="COZ3" s="28" t="e" cm="1" vm="1">
        <f t="array" ref="COZ3">_xlfn._xlws.FILTER(Rutas,_xlfn._xlws.FILTER($B$2:$B$10000,$B$2:$B$10000&lt;&gt;"")=VALUE(INDEX(IdClientes,MATCH(COZ2,Clientes,0))))</f>
        <v>#VALUE!</v>
      </c>
      <c r="CPA3" s="28" t="e" cm="1" vm="1">
        <f t="array" ref="CPA3">_xlfn._xlws.FILTER(Rutas,_xlfn._xlws.FILTER($B$2:$B$10000,$B$2:$B$10000&lt;&gt;"")=VALUE(INDEX(IdClientes,MATCH(CPA2,Clientes,0))))</f>
        <v>#VALUE!</v>
      </c>
      <c r="CPB3" s="28" t="e" cm="1" vm="1">
        <f t="array" ref="CPB3">_xlfn._xlws.FILTER(Rutas,_xlfn._xlws.FILTER($B$2:$B$10000,$B$2:$B$10000&lt;&gt;"")=VALUE(INDEX(IdClientes,MATCH(CPB2,Clientes,0))))</f>
        <v>#VALUE!</v>
      </c>
      <c r="CPC3" s="28" t="e" cm="1" vm="1">
        <f t="array" ref="CPC3">_xlfn._xlws.FILTER(Rutas,_xlfn._xlws.FILTER($B$2:$B$10000,$B$2:$B$10000&lt;&gt;"")=VALUE(INDEX(IdClientes,MATCH(CPC2,Clientes,0))))</f>
        <v>#VALUE!</v>
      </c>
      <c r="CPD3" s="28" t="e" cm="1" vm="1">
        <f t="array" ref="CPD3">_xlfn._xlws.FILTER(Rutas,_xlfn._xlws.FILTER($B$2:$B$10000,$B$2:$B$10000&lt;&gt;"")=VALUE(INDEX(IdClientes,MATCH(CPD2,Clientes,0))))</f>
        <v>#VALUE!</v>
      </c>
      <c r="CPE3" s="28" t="e" cm="1" vm="1">
        <f t="array" ref="CPE3">_xlfn._xlws.FILTER(Rutas,_xlfn._xlws.FILTER($B$2:$B$10000,$B$2:$B$10000&lt;&gt;"")=VALUE(INDEX(IdClientes,MATCH(CPE2,Clientes,0))))</f>
        <v>#VALUE!</v>
      </c>
      <c r="CPF3" s="28" t="e" cm="1" vm="1">
        <f t="array" ref="CPF3">_xlfn._xlws.FILTER(Rutas,_xlfn._xlws.FILTER($B$2:$B$10000,$B$2:$B$10000&lt;&gt;"")=VALUE(INDEX(IdClientes,MATCH(CPF2,Clientes,0))))</f>
        <v>#VALUE!</v>
      </c>
      <c r="CPG3" s="28" t="e" cm="1" vm="1">
        <f t="array" ref="CPG3">_xlfn._xlws.FILTER(Rutas,_xlfn._xlws.FILTER($B$2:$B$10000,$B$2:$B$10000&lt;&gt;"")=VALUE(INDEX(IdClientes,MATCH(CPG2,Clientes,0))))</f>
        <v>#VALUE!</v>
      </c>
      <c r="CPH3" s="28" t="e" cm="1" vm="1">
        <f t="array" ref="CPH3">_xlfn._xlws.FILTER(Rutas,_xlfn._xlws.FILTER($B$2:$B$10000,$B$2:$B$10000&lt;&gt;"")=VALUE(INDEX(IdClientes,MATCH(CPH2,Clientes,0))))</f>
        <v>#VALUE!</v>
      </c>
      <c r="CPI3" s="28" t="e" cm="1" vm="1">
        <f t="array" ref="CPI3">_xlfn._xlws.FILTER(Rutas,_xlfn._xlws.FILTER($B$2:$B$10000,$B$2:$B$10000&lt;&gt;"")=VALUE(INDEX(IdClientes,MATCH(CPI2,Clientes,0))))</f>
        <v>#VALUE!</v>
      </c>
      <c r="CPJ3" s="28" t="e" cm="1" vm="1">
        <f t="array" ref="CPJ3">_xlfn._xlws.FILTER(Rutas,_xlfn._xlws.FILTER($B$2:$B$10000,$B$2:$B$10000&lt;&gt;"")=VALUE(INDEX(IdClientes,MATCH(CPJ2,Clientes,0))))</f>
        <v>#VALUE!</v>
      </c>
      <c r="CPK3" s="28" t="e" cm="1" vm="1">
        <f t="array" ref="CPK3">_xlfn._xlws.FILTER(Rutas,_xlfn._xlws.FILTER($B$2:$B$10000,$B$2:$B$10000&lt;&gt;"")=VALUE(INDEX(IdClientes,MATCH(CPK2,Clientes,0))))</f>
        <v>#VALUE!</v>
      </c>
      <c r="CPL3" s="28" t="e" cm="1" vm="1">
        <f t="array" ref="CPL3">_xlfn._xlws.FILTER(Rutas,_xlfn._xlws.FILTER($B$2:$B$10000,$B$2:$B$10000&lt;&gt;"")=VALUE(INDEX(IdClientes,MATCH(CPL2,Clientes,0))))</f>
        <v>#VALUE!</v>
      </c>
      <c r="CPM3" s="28" t="e" cm="1" vm="1">
        <f t="array" ref="CPM3">_xlfn._xlws.FILTER(Rutas,_xlfn._xlws.FILTER($B$2:$B$10000,$B$2:$B$10000&lt;&gt;"")=VALUE(INDEX(IdClientes,MATCH(CPM2,Clientes,0))))</f>
        <v>#VALUE!</v>
      </c>
      <c r="CPN3" s="28" t="e" cm="1" vm="1">
        <f t="array" ref="CPN3">_xlfn._xlws.FILTER(Rutas,_xlfn._xlws.FILTER($B$2:$B$10000,$B$2:$B$10000&lt;&gt;"")=VALUE(INDEX(IdClientes,MATCH(CPN2,Clientes,0))))</f>
        <v>#VALUE!</v>
      </c>
      <c r="CPO3" s="28" t="e" cm="1" vm="1">
        <f t="array" ref="CPO3">_xlfn._xlws.FILTER(Rutas,_xlfn._xlws.FILTER($B$2:$B$10000,$B$2:$B$10000&lt;&gt;"")=VALUE(INDEX(IdClientes,MATCH(CPO2,Clientes,0))))</f>
        <v>#VALUE!</v>
      </c>
      <c r="CPP3" s="28" t="e" cm="1" vm="1">
        <f t="array" ref="CPP3">_xlfn._xlws.FILTER(Rutas,_xlfn._xlws.FILTER($B$2:$B$10000,$B$2:$B$10000&lt;&gt;"")=VALUE(INDEX(IdClientes,MATCH(CPP2,Clientes,0))))</f>
        <v>#VALUE!</v>
      </c>
      <c r="CPQ3" s="28" t="e" cm="1" vm="1">
        <f t="array" ref="CPQ3">_xlfn._xlws.FILTER(Rutas,_xlfn._xlws.FILTER($B$2:$B$10000,$B$2:$B$10000&lt;&gt;"")=VALUE(INDEX(IdClientes,MATCH(CPQ2,Clientes,0))))</f>
        <v>#VALUE!</v>
      </c>
      <c r="CPR3" s="28" t="e" cm="1" vm="1">
        <f t="array" ref="CPR3">_xlfn._xlws.FILTER(Rutas,_xlfn._xlws.FILTER($B$2:$B$10000,$B$2:$B$10000&lt;&gt;"")=VALUE(INDEX(IdClientes,MATCH(CPR2,Clientes,0))))</f>
        <v>#VALUE!</v>
      </c>
      <c r="CPS3" s="28" t="e" cm="1" vm="1">
        <f t="array" ref="CPS3">_xlfn._xlws.FILTER(Rutas,_xlfn._xlws.FILTER($B$2:$B$10000,$B$2:$B$10000&lt;&gt;"")=VALUE(INDEX(IdClientes,MATCH(CPS2,Clientes,0))))</f>
        <v>#VALUE!</v>
      </c>
      <c r="CPT3" s="28" t="e" cm="1" vm="1">
        <f t="array" ref="CPT3">_xlfn._xlws.FILTER(Rutas,_xlfn._xlws.FILTER($B$2:$B$10000,$B$2:$B$10000&lt;&gt;"")=VALUE(INDEX(IdClientes,MATCH(CPT2,Clientes,0))))</f>
        <v>#VALUE!</v>
      </c>
      <c r="CPU3" s="28" t="e" cm="1" vm="1">
        <f t="array" ref="CPU3">_xlfn._xlws.FILTER(Rutas,_xlfn._xlws.FILTER($B$2:$B$10000,$B$2:$B$10000&lt;&gt;"")=VALUE(INDEX(IdClientes,MATCH(CPU2,Clientes,0))))</f>
        <v>#VALUE!</v>
      </c>
      <c r="CPV3" s="28" t="e" cm="1" vm="1">
        <f t="array" ref="CPV3">_xlfn._xlws.FILTER(Rutas,_xlfn._xlws.FILTER($B$2:$B$10000,$B$2:$B$10000&lt;&gt;"")=VALUE(INDEX(IdClientes,MATCH(CPV2,Clientes,0))))</f>
        <v>#VALUE!</v>
      </c>
      <c r="CPW3" s="28" t="e" cm="1" vm="1">
        <f t="array" ref="CPW3">_xlfn._xlws.FILTER(Rutas,_xlfn._xlws.FILTER($B$2:$B$10000,$B$2:$B$10000&lt;&gt;"")=VALUE(INDEX(IdClientes,MATCH(CPW2,Clientes,0))))</f>
        <v>#VALUE!</v>
      </c>
      <c r="CPX3" s="28" t="e" cm="1" vm="1">
        <f t="array" ref="CPX3">_xlfn._xlws.FILTER(Rutas,_xlfn._xlws.FILTER($B$2:$B$10000,$B$2:$B$10000&lt;&gt;"")=VALUE(INDEX(IdClientes,MATCH(CPX2,Clientes,0))))</f>
        <v>#VALUE!</v>
      </c>
      <c r="CPY3" s="28" t="e" cm="1" vm="1">
        <f t="array" ref="CPY3">_xlfn._xlws.FILTER(Rutas,_xlfn._xlws.FILTER($B$2:$B$10000,$B$2:$B$10000&lt;&gt;"")=VALUE(INDEX(IdClientes,MATCH(CPY2,Clientes,0))))</f>
        <v>#VALUE!</v>
      </c>
      <c r="CPZ3" s="28" t="e" cm="1" vm="1">
        <f t="array" ref="CPZ3">_xlfn._xlws.FILTER(Rutas,_xlfn._xlws.FILTER($B$2:$B$10000,$B$2:$B$10000&lt;&gt;"")=VALUE(INDEX(IdClientes,MATCH(CPZ2,Clientes,0))))</f>
        <v>#VALUE!</v>
      </c>
      <c r="CQA3" s="28" t="e" cm="1" vm="1">
        <f t="array" ref="CQA3">_xlfn._xlws.FILTER(Rutas,_xlfn._xlws.FILTER($B$2:$B$10000,$B$2:$B$10000&lt;&gt;"")=VALUE(INDEX(IdClientes,MATCH(CQA2,Clientes,0))))</f>
        <v>#VALUE!</v>
      </c>
      <c r="CQB3" s="28" t="e" cm="1" vm="1">
        <f t="array" ref="CQB3">_xlfn._xlws.FILTER(Rutas,_xlfn._xlws.FILTER($B$2:$B$10000,$B$2:$B$10000&lt;&gt;"")=VALUE(INDEX(IdClientes,MATCH(CQB2,Clientes,0))))</f>
        <v>#VALUE!</v>
      </c>
      <c r="CQC3" s="28" t="e" cm="1" vm="1">
        <f t="array" ref="CQC3">_xlfn._xlws.FILTER(Rutas,_xlfn._xlws.FILTER($B$2:$B$10000,$B$2:$B$10000&lt;&gt;"")=VALUE(INDEX(IdClientes,MATCH(CQC2,Clientes,0))))</f>
        <v>#VALUE!</v>
      </c>
      <c r="CQD3" s="28" t="e" cm="1" vm="1">
        <f t="array" ref="CQD3">_xlfn._xlws.FILTER(Rutas,_xlfn._xlws.FILTER($B$2:$B$10000,$B$2:$B$10000&lt;&gt;"")=VALUE(INDEX(IdClientes,MATCH(CQD2,Clientes,0))))</f>
        <v>#VALUE!</v>
      </c>
      <c r="CQE3" s="28" t="e" cm="1" vm="1">
        <f t="array" ref="CQE3">_xlfn._xlws.FILTER(Rutas,_xlfn._xlws.FILTER($B$2:$B$10000,$B$2:$B$10000&lt;&gt;"")=VALUE(INDEX(IdClientes,MATCH(CQE2,Clientes,0))))</f>
        <v>#VALUE!</v>
      </c>
      <c r="CQF3" s="28" t="e" cm="1" vm="1">
        <f t="array" ref="CQF3">_xlfn._xlws.FILTER(Rutas,_xlfn._xlws.FILTER($B$2:$B$10000,$B$2:$B$10000&lt;&gt;"")=VALUE(INDEX(IdClientes,MATCH(CQF2,Clientes,0))))</f>
        <v>#VALUE!</v>
      </c>
      <c r="CQG3" s="28" t="e" cm="1" vm="1">
        <f t="array" ref="CQG3">_xlfn._xlws.FILTER(Rutas,_xlfn._xlws.FILTER($B$2:$B$10000,$B$2:$B$10000&lt;&gt;"")=VALUE(INDEX(IdClientes,MATCH(CQG2,Clientes,0))))</f>
        <v>#VALUE!</v>
      </c>
      <c r="CQH3" s="28" t="e" cm="1" vm="1">
        <f t="array" ref="CQH3">_xlfn._xlws.FILTER(Rutas,_xlfn._xlws.FILTER($B$2:$B$10000,$B$2:$B$10000&lt;&gt;"")=VALUE(INDEX(IdClientes,MATCH(CQH2,Clientes,0))))</f>
        <v>#VALUE!</v>
      </c>
      <c r="CQI3" s="28" t="e" cm="1" vm="1">
        <f t="array" ref="CQI3">_xlfn._xlws.FILTER(Rutas,_xlfn._xlws.FILTER($B$2:$B$10000,$B$2:$B$10000&lt;&gt;"")=VALUE(INDEX(IdClientes,MATCH(CQI2,Clientes,0))))</f>
        <v>#VALUE!</v>
      </c>
      <c r="CQJ3" s="28" t="e" cm="1" vm="1">
        <f t="array" ref="CQJ3">_xlfn._xlws.FILTER(Rutas,_xlfn._xlws.FILTER($B$2:$B$10000,$B$2:$B$10000&lt;&gt;"")=VALUE(INDEX(IdClientes,MATCH(CQJ2,Clientes,0))))</f>
        <v>#VALUE!</v>
      </c>
      <c r="CQK3" s="28" t="e" cm="1" vm="1">
        <f t="array" ref="CQK3">_xlfn._xlws.FILTER(Rutas,_xlfn._xlws.FILTER($B$2:$B$10000,$B$2:$B$10000&lt;&gt;"")=VALUE(INDEX(IdClientes,MATCH(CQK2,Clientes,0))))</f>
        <v>#VALUE!</v>
      </c>
      <c r="CQL3" s="28" t="e" cm="1" vm="1">
        <f t="array" ref="CQL3">_xlfn._xlws.FILTER(Rutas,_xlfn._xlws.FILTER($B$2:$B$10000,$B$2:$B$10000&lt;&gt;"")=VALUE(INDEX(IdClientes,MATCH(CQL2,Clientes,0))))</f>
        <v>#VALUE!</v>
      </c>
      <c r="CQM3" s="28" t="e" cm="1" vm="1">
        <f t="array" ref="CQM3">_xlfn._xlws.FILTER(Rutas,_xlfn._xlws.FILTER($B$2:$B$10000,$B$2:$B$10000&lt;&gt;"")=VALUE(INDEX(IdClientes,MATCH(CQM2,Clientes,0))))</f>
        <v>#VALUE!</v>
      </c>
      <c r="CQN3" s="28" t="e" cm="1" vm="1">
        <f t="array" ref="CQN3">_xlfn._xlws.FILTER(Rutas,_xlfn._xlws.FILTER($B$2:$B$10000,$B$2:$B$10000&lt;&gt;"")=VALUE(INDEX(IdClientes,MATCH(CQN2,Clientes,0))))</f>
        <v>#VALUE!</v>
      </c>
      <c r="CQO3" s="28" t="e" cm="1" vm="1">
        <f t="array" ref="CQO3">_xlfn._xlws.FILTER(Rutas,_xlfn._xlws.FILTER($B$2:$B$10000,$B$2:$B$10000&lt;&gt;"")=VALUE(INDEX(IdClientes,MATCH(CQO2,Clientes,0))))</f>
        <v>#VALUE!</v>
      </c>
      <c r="CQP3" s="28" t="e" cm="1" vm="1">
        <f t="array" ref="CQP3">_xlfn._xlws.FILTER(Rutas,_xlfn._xlws.FILTER($B$2:$B$10000,$B$2:$B$10000&lt;&gt;"")=VALUE(INDEX(IdClientes,MATCH(CQP2,Clientes,0))))</f>
        <v>#VALUE!</v>
      </c>
      <c r="CQQ3" s="28" t="e" cm="1" vm="1">
        <f t="array" ref="CQQ3">_xlfn._xlws.FILTER(Rutas,_xlfn._xlws.FILTER($B$2:$B$10000,$B$2:$B$10000&lt;&gt;"")=VALUE(INDEX(IdClientes,MATCH(CQQ2,Clientes,0))))</f>
        <v>#VALUE!</v>
      </c>
      <c r="CQR3" s="28" t="e" cm="1" vm="1">
        <f t="array" ref="CQR3">_xlfn._xlws.FILTER(Rutas,_xlfn._xlws.FILTER($B$2:$B$10000,$B$2:$B$10000&lt;&gt;"")=VALUE(INDEX(IdClientes,MATCH(CQR2,Clientes,0))))</f>
        <v>#VALUE!</v>
      </c>
      <c r="CQS3" s="28" t="e" cm="1" vm="1">
        <f t="array" ref="CQS3">_xlfn._xlws.FILTER(Rutas,_xlfn._xlws.FILTER($B$2:$B$10000,$B$2:$B$10000&lt;&gt;"")=VALUE(INDEX(IdClientes,MATCH(CQS2,Clientes,0))))</f>
        <v>#VALUE!</v>
      </c>
      <c r="CQT3" s="28" t="e" cm="1" vm="1">
        <f t="array" ref="CQT3">_xlfn._xlws.FILTER(Rutas,_xlfn._xlws.FILTER($B$2:$B$10000,$B$2:$B$10000&lt;&gt;"")=VALUE(INDEX(IdClientes,MATCH(CQT2,Clientes,0))))</f>
        <v>#VALUE!</v>
      </c>
      <c r="CQU3" s="28" t="e" cm="1" vm="1">
        <f t="array" ref="CQU3">_xlfn._xlws.FILTER(Rutas,_xlfn._xlws.FILTER($B$2:$B$10000,$B$2:$B$10000&lt;&gt;"")=VALUE(INDEX(IdClientes,MATCH(CQU2,Clientes,0))))</f>
        <v>#VALUE!</v>
      </c>
      <c r="CQV3" s="28" t="e" cm="1" vm="1">
        <f t="array" ref="CQV3">_xlfn._xlws.FILTER(Rutas,_xlfn._xlws.FILTER($B$2:$B$10000,$B$2:$B$10000&lt;&gt;"")=VALUE(INDEX(IdClientes,MATCH(CQV2,Clientes,0))))</f>
        <v>#VALUE!</v>
      </c>
      <c r="CQW3" s="28" t="e" cm="1" vm="1">
        <f t="array" ref="CQW3">_xlfn._xlws.FILTER(Rutas,_xlfn._xlws.FILTER($B$2:$B$10000,$B$2:$B$10000&lt;&gt;"")=VALUE(INDEX(IdClientes,MATCH(CQW2,Clientes,0))))</f>
        <v>#VALUE!</v>
      </c>
      <c r="CQX3" s="28" t="e" cm="1" vm="1">
        <f t="array" ref="CQX3">_xlfn._xlws.FILTER(Rutas,_xlfn._xlws.FILTER($B$2:$B$10000,$B$2:$B$10000&lt;&gt;"")=VALUE(INDEX(IdClientes,MATCH(CQX2,Clientes,0))))</f>
        <v>#VALUE!</v>
      </c>
      <c r="CQY3" s="28" t="e" cm="1" vm="1">
        <f t="array" ref="CQY3">_xlfn._xlws.FILTER(Rutas,_xlfn._xlws.FILTER($B$2:$B$10000,$B$2:$B$10000&lt;&gt;"")=VALUE(INDEX(IdClientes,MATCH(CQY2,Clientes,0))))</f>
        <v>#VALUE!</v>
      </c>
      <c r="CQZ3" s="28" t="e" cm="1" vm="1">
        <f t="array" ref="CQZ3">_xlfn._xlws.FILTER(Rutas,_xlfn._xlws.FILTER($B$2:$B$10000,$B$2:$B$10000&lt;&gt;"")=VALUE(INDEX(IdClientes,MATCH(CQZ2,Clientes,0))))</f>
        <v>#VALUE!</v>
      </c>
      <c r="CRA3" s="28" t="e" cm="1" vm="1">
        <f t="array" ref="CRA3">_xlfn._xlws.FILTER(Rutas,_xlfn._xlws.FILTER($B$2:$B$10000,$B$2:$B$10000&lt;&gt;"")=VALUE(INDEX(IdClientes,MATCH(CRA2,Clientes,0))))</f>
        <v>#VALUE!</v>
      </c>
      <c r="CRB3" s="28" t="e" cm="1" vm="1">
        <f t="array" ref="CRB3">_xlfn._xlws.FILTER(Rutas,_xlfn._xlws.FILTER($B$2:$B$10000,$B$2:$B$10000&lt;&gt;"")=VALUE(INDEX(IdClientes,MATCH(CRB2,Clientes,0))))</f>
        <v>#VALUE!</v>
      </c>
      <c r="CRC3" s="28" t="e" cm="1" vm="1">
        <f t="array" ref="CRC3">_xlfn._xlws.FILTER(Rutas,_xlfn._xlws.FILTER($B$2:$B$10000,$B$2:$B$10000&lt;&gt;"")=VALUE(INDEX(IdClientes,MATCH(CRC2,Clientes,0))))</f>
        <v>#VALUE!</v>
      </c>
      <c r="CRD3" s="28" t="e" cm="1" vm="1">
        <f t="array" ref="CRD3">_xlfn._xlws.FILTER(Rutas,_xlfn._xlws.FILTER($B$2:$B$10000,$B$2:$B$10000&lt;&gt;"")=VALUE(INDEX(IdClientes,MATCH(CRD2,Clientes,0))))</f>
        <v>#VALUE!</v>
      </c>
      <c r="CRE3" s="28" t="e" cm="1" vm="1">
        <f t="array" ref="CRE3">_xlfn._xlws.FILTER(Rutas,_xlfn._xlws.FILTER($B$2:$B$10000,$B$2:$B$10000&lt;&gt;"")=VALUE(INDEX(IdClientes,MATCH(CRE2,Clientes,0))))</f>
        <v>#VALUE!</v>
      </c>
      <c r="CRF3" s="28" t="e" cm="1" vm="1">
        <f t="array" ref="CRF3">_xlfn._xlws.FILTER(Rutas,_xlfn._xlws.FILTER($B$2:$B$10000,$B$2:$B$10000&lt;&gt;"")=VALUE(INDEX(IdClientes,MATCH(CRF2,Clientes,0))))</f>
        <v>#VALUE!</v>
      </c>
      <c r="CRG3" s="28" t="e" cm="1" vm="1">
        <f t="array" ref="CRG3">_xlfn._xlws.FILTER(Rutas,_xlfn._xlws.FILTER($B$2:$B$10000,$B$2:$B$10000&lt;&gt;"")=VALUE(INDEX(IdClientes,MATCH(CRG2,Clientes,0))))</f>
        <v>#VALUE!</v>
      </c>
      <c r="CRH3" s="28" t="e" cm="1" vm="1">
        <f t="array" ref="CRH3">_xlfn._xlws.FILTER(Rutas,_xlfn._xlws.FILTER($B$2:$B$10000,$B$2:$B$10000&lt;&gt;"")=VALUE(INDEX(IdClientes,MATCH(CRH2,Clientes,0))))</f>
        <v>#VALUE!</v>
      </c>
      <c r="CRI3" s="28" t="e" cm="1" vm="1">
        <f t="array" ref="CRI3">_xlfn._xlws.FILTER(Rutas,_xlfn._xlws.FILTER($B$2:$B$10000,$B$2:$B$10000&lt;&gt;"")=VALUE(INDEX(IdClientes,MATCH(CRI2,Clientes,0))))</f>
        <v>#VALUE!</v>
      </c>
      <c r="CRJ3" s="28" t="e" cm="1" vm="1">
        <f t="array" ref="CRJ3">_xlfn._xlws.FILTER(Rutas,_xlfn._xlws.FILTER($B$2:$B$10000,$B$2:$B$10000&lt;&gt;"")=VALUE(INDEX(IdClientes,MATCH(CRJ2,Clientes,0))))</f>
        <v>#VALUE!</v>
      </c>
      <c r="CRK3" s="28" t="e" cm="1" vm="1">
        <f t="array" ref="CRK3">_xlfn._xlws.FILTER(Rutas,_xlfn._xlws.FILTER($B$2:$B$10000,$B$2:$B$10000&lt;&gt;"")=VALUE(INDEX(IdClientes,MATCH(CRK2,Clientes,0))))</f>
        <v>#VALUE!</v>
      </c>
      <c r="CRL3" s="28" t="e" cm="1" vm="1">
        <f t="array" ref="CRL3">_xlfn._xlws.FILTER(Rutas,_xlfn._xlws.FILTER($B$2:$B$10000,$B$2:$B$10000&lt;&gt;"")=VALUE(INDEX(IdClientes,MATCH(CRL2,Clientes,0))))</f>
        <v>#VALUE!</v>
      </c>
      <c r="CRM3" s="28" t="e" cm="1" vm="1">
        <f t="array" ref="CRM3">_xlfn._xlws.FILTER(Rutas,_xlfn._xlws.FILTER($B$2:$B$10000,$B$2:$B$10000&lt;&gt;"")=VALUE(INDEX(IdClientes,MATCH(CRM2,Clientes,0))))</f>
        <v>#VALUE!</v>
      </c>
      <c r="CRN3" s="28" t="e" cm="1" vm="1">
        <f t="array" ref="CRN3">_xlfn._xlws.FILTER(Rutas,_xlfn._xlws.FILTER($B$2:$B$10000,$B$2:$B$10000&lt;&gt;"")=VALUE(INDEX(IdClientes,MATCH(CRN2,Clientes,0))))</f>
        <v>#VALUE!</v>
      </c>
      <c r="CRO3" s="28" t="e" cm="1" vm="1">
        <f t="array" ref="CRO3">_xlfn._xlws.FILTER(Rutas,_xlfn._xlws.FILTER($B$2:$B$10000,$B$2:$B$10000&lt;&gt;"")=VALUE(INDEX(IdClientes,MATCH(CRO2,Clientes,0))))</f>
        <v>#VALUE!</v>
      </c>
      <c r="CRP3" s="28" t="e" cm="1" vm="1">
        <f t="array" ref="CRP3">_xlfn._xlws.FILTER(Rutas,_xlfn._xlws.FILTER($B$2:$B$10000,$B$2:$B$10000&lt;&gt;"")=VALUE(INDEX(IdClientes,MATCH(CRP2,Clientes,0))))</f>
        <v>#VALUE!</v>
      </c>
      <c r="CRQ3" s="28" t="e" cm="1" vm="1">
        <f t="array" ref="CRQ3">_xlfn._xlws.FILTER(Rutas,_xlfn._xlws.FILTER($B$2:$B$10000,$B$2:$B$10000&lt;&gt;"")=VALUE(INDEX(IdClientes,MATCH(CRQ2,Clientes,0))))</f>
        <v>#VALUE!</v>
      </c>
      <c r="CRR3" s="28" t="e" cm="1" vm="1">
        <f t="array" ref="CRR3">_xlfn._xlws.FILTER(Rutas,_xlfn._xlws.FILTER($B$2:$B$10000,$B$2:$B$10000&lt;&gt;"")=VALUE(INDEX(IdClientes,MATCH(CRR2,Clientes,0))))</f>
        <v>#VALUE!</v>
      </c>
      <c r="CRS3" s="28" t="e" cm="1" vm="1">
        <f t="array" ref="CRS3">_xlfn._xlws.FILTER(Rutas,_xlfn._xlws.FILTER($B$2:$B$10000,$B$2:$B$10000&lt;&gt;"")=VALUE(INDEX(IdClientes,MATCH(CRS2,Clientes,0))))</f>
        <v>#VALUE!</v>
      </c>
      <c r="CRT3" s="28" t="e" cm="1" vm="1">
        <f t="array" ref="CRT3">_xlfn._xlws.FILTER(Rutas,_xlfn._xlws.FILTER($B$2:$B$10000,$B$2:$B$10000&lt;&gt;"")=VALUE(INDEX(IdClientes,MATCH(CRT2,Clientes,0))))</f>
        <v>#VALUE!</v>
      </c>
      <c r="CRU3" s="28" t="e" cm="1" vm="1">
        <f t="array" ref="CRU3">_xlfn._xlws.FILTER(Rutas,_xlfn._xlws.FILTER($B$2:$B$10000,$B$2:$B$10000&lt;&gt;"")=VALUE(INDEX(IdClientes,MATCH(CRU2,Clientes,0))))</f>
        <v>#VALUE!</v>
      </c>
      <c r="CRV3" s="28" t="e" cm="1" vm="1">
        <f t="array" ref="CRV3">_xlfn._xlws.FILTER(Rutas,_xlfn._xlws.FILTER($B$2:$B$10000,$B$2:$B$10000&lt;&gt;"")=VALUE(INDEX(IdClientes,MATCH(CRV2,Clientes,0))))</f>
        <v>#VALUE!</v>
      </c>
      <c r="CRW3" s="28" t="e" cm="1" vm="1">
        <f t="array" ref="CRW3">_xlfn._xlws.FILTER(Rutas,_xlfn._xlws.FILTER($B$2:$B$10000,$B$2:$B$10000&lt;&gt;"")=VALUE(INDEX(IdClientes,MATCH(CRW2,Clientes,0))))</f>
        <v>#VALUE!</v>
      </c>
      <c r="CRX3" s="28" t="e" cm="1" vm="1">
        <f t="array" ref="CRX3">_xlfn._xlws.FILTER(Rutas,_xlfn._xlws.FILTER($B$2:$B$10000,$B$2:$B$10000&lt;&gt;"")=VALUE(INDEX(IdClientes,MATCH(CRX2,Clientes,0))))</f>
        <v>#VALUE!</v>
      </c>
      <c r="CRY3" s="28" t="e" cm="1" vm="1">
        <f t="array" ref="CRY3">_xlfn._xlws.FILTER(Rutas,_xlfn._xlws.FILTER($B$2:$B$10000,$B$2:$B$10000&lt;&gt;"")=VALUE(INDEX(IdClientes,MATCH(CRY2,Clientes,0))))</f>
        <v>#VALUE!</v>
      </c>
      <c r="CRZ3" s="28" t="e" cm="1" vm="1">
        <f t="array" ref="CRZ3">_xlfn._xlws.FILTER(Rutas,_xlfn._xlws.FILTER($B$2:$B$10000,$B$2:$B$10000&lt;&gt;"")=VALUE(INDEX(IdClientes,MATCH(CRZ2,Clientes,0))))</f>
        <v>#VALUE!</v>
      </c>
      <c r="CSA3" s="28" t="e" cm="1" vm="1">
        <f t="array" ref="CSA3">_xlfn._xlws.FILTER(Rutas,_xlfn._xlws.FILTER($B$2:$B$10000,$B$2:$B$10000&lt;&gt;"")=VALUE(INDEX(IdClientes,MATCH(CSA2,Clientes,0))))</f>
        <v>#VALUE!</v>
      </c>
      <c r="CSB3" s="28" t="e" cm="1" vm="1">
        <f t="array" ref="CSB3">_xlfn._xlws.FILTER(Rutas,_xlfn._xlws.FILTER($B$2:$B$10000,$B$2:$B$10000&lt;&gt;"")=VALUE(INDEX(IdClientes,MATCH(CSB2,Clientes,0))))</f>
        <v>#VALUE!</v>
      </c>
      <c r="CSC3" s="28" t="e" cm="1" vm="1">
        <f t="array" ref="CSC3">_xlfn._xlws.FILTER(Rutas,_xlfn._xlws.FILTER($B$2:$B$10000,$B$2:$B$10000&lt;&gt;"")=VALUE(INDEX(IdClientes,MATCH(CSC2,Clientes,0))))</f>
        <v>#VALUE!</v>
      </c>
      <c r="CSD3" s="28" t="e" cm="1" vm="1">
        <f t="array" ref="CSD3">_xlfn._xlws.FILTER(Rutas,_xlfn._xlws.FILTER($B$2:$B$10000,$B$2:$B$10000&lt;&gt;"")=VALUE(INDEX(IdClientes,MATCH(CSD2,Clientes,0))))</f>
        <v>#VALUE!</v>
      </c>
      <c r="CSE3" s="28" t="e" cm="1" vm="1">
        <f t="array" ref="CSE3">_xlfn._xlws.FILTER(Rutas,_xlfn._xlws.FILTER($B$2:$B$10000,$B$2:$B$10000&lt;&gt;"")=VALUE(INDEX(IdClientes,MATCH(CSE2,Clientes,0))))</f>
        <v>#VALUE!</v>
      </c>
      <c r="CSF3" s="28" t="e" cm="1" vm="1">
        <f t="array" ref="CSF3">_xlfn._xlws.FILTER(Rutas,_xlfn._xlws.FILTER($B$2:$B$10000,$B$2:$B$10000&lt;&gt;"")=VALUE(INDEX(IdClientes,MATCH(CSF2,Clientes,0))))</f>
        <v>#VALUE!</v>
      </c>
      <c r="CSG3" s="28" t="e" cm="1" vm="1">
        <f t="array" ref="CSG3">_xlfn._xlws.FILTER(Rutas,_xlfn._xlws.FILTER($B$2:$B$10000,$B$2:$B$10000&lt;&gt;"")=VALUE(INDEX(IdClientes,MATCH(CSG2,Clientes,0))))</f>
        <v>#VALUE!</v>
      </c>
      <c r="CSH3" s="28" t="e" cm="1" vm="1">
        <f t="array" ref="CSH3">_xlfn._xlws.FILTER(Rutas,_xlfn._xlws.FILTER($B$2:$B$10000,$B$2:$B$10000&lt;&gt;"")=VALUE(INDEX(IdClientes,MATCH(CSH2,Clientes,0))))</f>
        <v>#VALUE!</v>
      </c>
      <c r="CSI3" s="28" t="e" cm="1" vm="1">
        <f t="array" ref="CSI3">_xlfn._xlws.FILTER(Rutas,_xlfn._xlws.FILTER($B$2:$B$10000,$B$2:$B$10000&lt;&gt;"")=VALUE(INDEX(IdClientes,MATCH(CSI2,Clientes,0))))</f>
        <v>#VALUE!</v>
      </c>
      <c r="CSJ3" s="28" t="e" cm="1" vm="1">
        <f t="array" ref="CSJ3">_xlfn._xlws.FILTER(Rutas,_xlfn._xlws.FILTER($B$2:$B$10000,$B$2:$B$10000&lt;&gt;"")=VALUE(INDEX(IdClientes,MATCH(CSJ2,Clientes,0))))</f>
        <v>#VALUE!</v>
      </c>
      <c r="CSK3" s="28" t="e" cm="1" vm="1">
        <f t="array" ref="CSK3">_xlfn._xlws.FILTER(Rutas,_xlfn._xlws.FILTER($B$2:$B$10000,$B$2:$B$10000&lt;&gt;"")=VALUE(INDEX(IdClientes,MATCH(CSK2,Clientes,0))))</f>
        <v>#VALUE!</v>
      </c>
      <c r="CSL3" s="28" t="e" cm="1" vm="1">
        <f t="array" ref="CSL3">_xlfn._xlws.FILTER(Rutas,_xlfn._xlws.FILTER($B$2:$B$10000,$B$2:$B$10000&lt;&gt;"")=VALUE(INDEX(IdClientes,MATCH(CSL2,Clientes,0))))</f>
        <v>#VALUE!</v>
      </c>
      <c r="CSM3" s="28" t="e" cm="1" vm="1">
        <f t="array" ref="CSM3">_xlfn._xlws.FILTER(Rutas,_xlfn._xlws.FILTER($B$2:$B$10000,$B$2:$B$10000&lt;&gt;"")=VALUE(INDEX(IdClientes,MATCH(CSM2,Clientes,0))))</f>
        <v>#VALUE!</v>
      </c>
      <c r="CSN3" s="28" t="e" cm="1" vm="1">
        <f t="array" ref="CSN3">_xlfn._xlws.FILTER(Rutas,_xlfn._xlws.FILTER($B$2:$B$10000,$B$2:$B$10000&lt;&gt;"")=VALUE(INDEX(IdClientes,MATCH(CSN2,Clientes,0))))</f>
        <v>#VALUE!</v>
      </c>
      <c r="CSO3" s="28" t="e" cm="1" vm="1">
        <f t="array" ref="CSO3">_xlfn._xlws.FILTER(Rutas,_xlfn._xlws.FILTER($B$2:$B$10000,$B$2:$B$10000&lt;&gt;"")=VALUE(INDEX(IdClientes,MATCH(CSO2,Clientes,0))))</f>
        <v>#VALUE!</v>
      </c>
      <c r="CSP3" s="28" t="e" cm="1" vm="1">
        <f t="array" ref="CSP3">_xlfn._xlws.FILTER(Rutas,_xlfn._xlws.FILTER($B$2:$B$10000,$B$2:$B$10000&lt;&gt;"")=VALUE(INDEX(IdClientes,MATCH(CSP2,Clientes,0))))</f>
        <v>#VALUE!</v>
      </c>
      <c r="CSQ3" s="28" t="e" cm="1" vm="1">
        <f t="array" ref="CSQ3">_xlfn._xlws.FILTER(Rutas,_xlfn._xlws.FILTER($B$2:$B$10000,$B$2:$B$10000&lt;&gt;"")=VALUE(INDEX(IdClientes,MATCH(CSQ2,Clientes,0))))</f>
        <v>#VALUE!</v>
      </c>
      <c r="CSR3" s="28" t="e" cm="1" vm="1">
        <f t="array" ref="CSR3">_xlfn._xlws.FILTER(Rutas,_xlfn._xlws.FILTER($B$2:$B$10000,$B$2:$B$10000&lt;&gt;"")=VALUE(INDEX(IdClientes,MATCH(CSR2,Clientes,0))))</f>
        <v>#VALUE!</v>
      </c>
      <c r="CSS3" s="28" t="e" cm="1" vm="1">
        <f t="array" ref="CSS3">_xlfn._xlws.FILTER(Rutas,_xlfn._xlws.FILTER($B$2:$B$10000,$B$2:$B$10000&lt;&gt;"")=VALUE(INDEX(IdClientes,MATCH(CSS2,Clientes,0))))</f>
        <v>#VALUE!</v>
      </c>
      <c r="CST3" s="28" t="e" cm="1" vm="1">
        <f t="array" ref="CST3">_xlfn._xlws.FILTER(Rutas,_xlfn._xlws.FILTER($B$2:$B$10000,$B$2:$B$10000&lt;&gt;"")=VALUE(INDEX(IdClientes,MATCH(CST2,Clientes,0))))</f>
        <v>#VALUE!</v>
      </c>
      <c r="CSU3" s="28" t="e" cm="1" vm="1">
        <f t="array" ref="CSU3">_xlfn._xlws.FILTER(Rutas,_xlfn._xlws.FILTER($B$2:$B$10000,$B$2:$B$10000&lt;&gt;"")=VALUE(INDEX(IdClientes,MATCH(CSU2,Clientes,0))))</f>
        <v>#VALUE!</v>
      </c>
      <c r="CSV3" s="28" t="e" cm="1" vm="1">
        <f t="array" ref="CSV3">_xlfn._xlws.FILTER(Rutas,_xlfn._xlws.FILTER($B$2:$B$10000,$B$2:$B$10000&lt;&gt;"")=VALUE(INDEX(IdClientes,MATCH(CSV2,Clientes,0))))</f>
        <v>#VALUE!</v>
      </c>
      <c r="CSW3" s="28" t="e" cm="1" vm="1">
        <f t="array" ref="CSW3">_xlfn._xlws.FILTER(Rutas,_xlfn._xlws.FILTER($B$2:$B$10000,$B$2:$B$10000&lt;&gt;"")=VALUE(INDEX(IdClientes,MATCH(CSW2,Clientes,0))))</f>
        <v>#VALUE!</v>
      </c>
      <c r="CSX3" s="28" t="e" cm="1" vm="1">
        <f t="array" ref="CSX3">_xlfn._xlws.FILTER(Rutas,_xlfn._xlws.FILTER($B$2:$B$10000,$B$2:$B$10000&lt;&gt;"")=VALUE(INDEX(IdClientes,MATCH(CSX2,Clientes,0))))</f>
        <v>#VALUE!</v>
      </c>
      <c r="CSY3" s="28" t="e" cm="1" vm="1">
        <f t="array" ref="CSY3">_xlfn._xlws.FILTER(Rutas,_xlfn._xlws.FILTER($B$2:$B$10000,$B$2:$B$10000&lt;&gt;"")=VALUE(INDEX(IdClientes,MATCH(CSY2,Clientes,0))))</f>
        <v>#VALUE!</v>
      </c>
      <c r="CSZ3" s="28" t="e" cm="1" vm="1">
        <f t="array" ref="CSZ3">_xlfn._xlws.FILTER(Rutas,_xlfn._xlws.FILTER($B$2:$B$10000,$B$2:$B$10000&lt;&gt;"")=VALUE(INDEX(IdClientes,MATCH(CSZ2,Clientes,0))))</f>
        <v>#VALUE!</v>
      </c>
      <c r="CTA3" s="28" t="e" cm="1" vm="1">
        <f t="array" ref="CTA3">_xlfn._xlws.FILTER(Rutas,_xlfn._xlws.FILTER($B$2:$B$10000,$B$2:$B$10000&lt;&gt;"")=VALUE(INDEX(IdClientes,MATCH(CTA2,Clientes,0))))</f>
        <v>#VALUE!</v>
      </c>
      <c r="CTB3" s="28" t="e" cm="1" vm="1">
        <f t="array" ref="CTB3">_xlfn._xlws.FILTER(Rutas,_xlfn._xlws.FILTER($B$2:$B$10000,$B$2:$B$10000&lt;&gt;"")=VALUE(INDEX(IdClientes,MATCH(CTB2,Clientes,0))))</f>
        <v>#VALUE!</v>
      </c>
      <c r="CTC3" s="28" t="e" cm="1" vm="1">
        <f t="array" ref="CTC3">_xlfn._xlws.FILTER(Rutas,_xlfn._xlws.FILTER($B$2:$B$10000,$B$2:$B$10000&lt;&gt;"")=VALUE(INDEX(IdClientes,MATCH(CTC2,Clientes,0))))</f>
        <v>#VALUE!</v>
      </c>
      <c r="CTD3" s="28" t="e" cm="1" vm="1">
        <f t="array" ref="CTD3">_xlfn._xlws.FILTER(Rutas,_xlfn._xlws.FILTER($B$2:$B$10000,$B$2:$B$10000&lt;&gt;"")=VALUE(INDEX(IdClientes,MATCH(CTD2,Clientes,0))))</f>
        <v>#VALUE!</v>
      </c>
      <c r="CTE3" s="28" t="e" cm="1" vm="1">
        <f t="array" ref="CTE3">_xlfn._xlws.FILTER(Rutas,_xlfn._xlws.FILTER($B$2:$B$10000,$B$2:$B$10000&lt;&gt;"")=VALUE(INDEX(IdClientes,MATCH(CTE2,Clientes,0))))</f>
        <v>#VALUE!</v>
      </c>
      <c r="CTF3" s="28" t="e" cm="1" vm="1">
        <f t="array" ref="CTF3">_xlfn._xlws.FILTER(Rutas,_xlfn._xlws.FILTER($B$2:$B$10000,$B$2:$B$10000&lt;&gt;"")=VALUE(INDEX(IdClientes,MATCH(CTF2,Clientes,0))))</f>
        <v>#VALUE!</v>
      </c>
      <c r="CTG3" s="28" t="e" cm="1" vm="1">
        <f t="array" ref="CTG3">_xlfn._xlws.FILTER(Rutas,_xlfn._xlws.FILTER($B$2:$B$10000,$B$2:$B$10000&lt;&gt;"")=VALUE(INDEX(IdClientes,MATCH(CTG2,Clientes,0))))</f>
        <v>#VALUE!</v>
      </c>
      <c r="CTH3" s="28" t="e" cm="1" vm="1">
        <f t="array" ref="CTH3">_xlfn._xlws.FILTER(Rutas,_xlfn._xlws.FILTER($B$2:$B$10000,$B$2:$B$10000&lt;&gt;"")=VALUE(INDEX(IdClientes,MATCH(CTH2,Clientes,0))))</f>
        <v>#VALUE!</v>
      </c>
      <c r="CTI3" s="28" t="e" cm="1" vm="1">
        <f t="array" ref="CTI3">_xlfn._xlws.FILTER(Rutas,_xlfn._xlws.FILTER($B$2:$B$10000,$B$2:$B$10000&lt;&gt;"")=VALUE(INDEX(IdClientes,MATCH(CTI2,Clientes,0))))</f>
        <v>#VALUE!</v>
      </c>
      <c r="CTJ3" s="28" t="e" cm="1" vm="1">
        <f t="array" ref="CTJ3">_xlfn._xlws.FILTER(Rutas,_xlfn._xlws.FILTER($B$2:$B$10000,$B$2:$B$10000&lt;&gt;"")=VALUE(INDEX(IdClientes,MATCH(CTJ2,Clientes,0))))</f>
        <v>#VALUE!</v>
      </c>
      <c r="CTK3" s="28" t="e" cm="1" vm="1">
        <f t="array" ref="CTK3">_xlfn._xlws.FILTER(Rutas,_xlfn._xlws.FILTER($B$2:$B$10000,$B$2:$B$10000&lt;&gt;"")=VALUE(INDEX(IdClientes,MATCH(CTK2,Clientes,0))))</f>
        <v>#VALUE!</v>
      </c>
      <c r="CTL3" s="28" t="e" cm="1" vm="1">
        <f t="array" ref="CTL3">_xlfn._xlws.FILTER(Rutas,_xlfn._xlws.FILTER($B$2:$B$10000,$B$2:$B$10000&lt;&gt;"")=VALUE(INDEX(IdClientes,MATCH(CTL2,Clientes,0))))</f>
        <v>#VALUE!</v>
      </c>
      <c r="CTM3" s="28" t="e" cm="1" vm="1">
        <f t="array" ref="CTM3">_xlfn._xlws.FILTER(Rutas,_xlfn._xlws.FILTER($B$2:$B$10000,$B$2:$B$10000&lt;&gt;"")=VALUE(INDEX(IdClientes,MATCH(CTM2,Clientes,0))))</f>
        <v>#VALUE!</v>
      </c>
      <c r="CTN3" s="28" t="e" cm="1" vm="1">
        <f t="array" ref="CTN3">_xlfn._xlws.FILTER(Rutas,_xlfn._xlws.FILTER($B$2:$B$10000,$B$2:$B$10000&lt;&gt;"")=VALUE(INDEX(IdClientes,MATCH(CTN2,Clientes,0))))</f>
        <v>#VALUE!</v>
      </c>
      <c r="CTO3" s="28" t="e" cm="1" vm="1">
        <f t="array" ref="CTO3">_xlfn._xlws.FILTER(Rutas,_xlfn._xlws.FILTER($B$2:$B$10000,$B$2:$B$10000&lt;&gt;"")=VALUE(INDEX(IdClientes,MATCH(CTO2,Clientes,0))))</f>
        <v>#VALUE!</v>
      </c>
      <c r="CTP3" s="28" t="e" cm="1" vm="1">
        <f t="array" ref="CTP3">_xlfn._xlws.FILTER(Rutas,_xlfn._xlws.FILTER($B$2:$B$10000,$B$2:$B$10000&lt;&gt;"")=VALUE(INDEX(IdClientes,MATCH(CTP2,Clientes,0))))</f>
        <v>#VALUE!</v>
      </c>
      <c r="CTQ3" s="28" t="e" cm="1" vm="1">
        <f t="array" ref="CTQ3">_xlfn._xlws.FILTER(Rutas,_xlfn._xlws.FILTER($B$2:$B$10000,$B$2:$B$10000&lt;&gt;"")=VALUE(INDEX(IdClientes,MATCH(CTQ2,Clientes,0))))</f>
        <v>#VALUE!</v>
      </c>
      <c r="CTR3" s="28" t="e" cm="1" vm="1">
        <f t="array" ref="CTR3">_xlfn._xlws.FILTER(Rutas,_xlfn._xlws.FILTER($B$2:$B$10000,$B$2:$B$10000&lt;&gt;"")=VALUE(INDEX(IdClientes,MATCH(CTR2,Clientes,0))))</f>
        <v>#VALUE!</v>
      </c>
      <c r="CTS3" s="28" t="e" cm="1" vm="1">
        <f t="array" ref="CTS3">_xlfn._xlws.FILTER(Rutas,_xlfn._xlws.FILTER($B$2:$B$10000,$B$2:$B$10000&lt;&gt;"")=VALUE(INDEX(IdClientes,MATCH(CTS2,Clientes,0))))</f>
        <v>#VALUE!</v>
      </c>
      <c r="CTT3" s="28" t="e" cm="1" vm="1">
        <f t="array" ref="CTT3">_xlfn._xlws.FILTER(Rutas,_xlfn._xlws.FILTER($B$2:$B$10000,$B$2:$B$10000&lt;&gt;"")=VALUE(INDEX(IdClientes,MATCH(CTT2,Clientes,0))))</f>
        <v>#VALUE!</v>
      </c>
      <c r="CTU3" s="28" t="e" cm="1" vm="1">
        <f t="array" ref="CTU3">_xlfn._xlws.FILTER(Rutas,_xlfn._xlws.FILTER($B$2:$B$10000,$B$2:$B$10000&lt;&gt;"")=VALUE(INDEX(IdClientes,MATCH(CTU2,Clientes,0))))</f>
        <v>#VALUE!</v>
      </c>
      <c r="CTV3" s="28" t="e" cm="1" vm="1">
        <f t="array" ref="CTV3">_xlfn._xlws.FILTER(Rutas,_xlfn._xlws.FILTER($B$2:$B$10000,$B$2:$B$10000&lt;&gt;"")=VALUE(INDEX(IdClientes,MATCH(CTV2,Clientes,0))))</f>
        <v>#VALUE!</v>
      </c>
      <c r="CTW3" s="28" t="e" cm="1" vm="1">
        <f t="array" ref="CTW3">_xlfn._xlws.FILTER(Rutas,_xlfn._xlws.FILTER($B$2:$B$10000,$B$2:$B$10000&lt;&gt;"")=VALUE(INDEX(IdClientes,MATCH(CTW2,Clientes,0))))</f>
        <v>#VALUE!</v>
      </c>
      <c r="CTX3" s="28" t="e" cm="1" vm="1">
        <f t="array" ref="CTX3">_xlfn._xlws.FILTER(Rutas,_xlfn._xlws.FILTER($B$2:$B$10000,$B$2:$B$10000&lt;&gt;"")=VALUE(INDEX(IdClientes,MATCH(CTX2,Clientes,0))))</f>
        <v>#VALUE!</v>
      </c>
      <c r="CTY3" s="28" t="e" cm="1" vm="1">
        <f t="array" ref="CTY3">_xlfn._xlws.FILTER(Rutas,_xlfn._xlws.FILTER($B$2:$B$10000,$B$2:$B$10000&lt;&gt;"")=VALUE(INDEX(IdClientes,MATCH(CTY2,Clientes,0))))</f>
        <v>#VALUE!</v>
      </c>
      <c r="CTZ3" s="28" t="e" cm="1" vm="1">
        <f t="array" ref="CTZ3">_xlfn._xlws.FILTER(Rutas,_xlfn._xlws.FILTER($B$2:$B$10000,$B$2:$B$10000&lt;&gt;"")=VALUE(INDEX(IdClientes,MATCH(CTZ2,Clientes,0))))</f>
        <v>#VALUE!</v>
      </c>
      <c r="CUA3" s="28" t="e" cm="1" vm="1">
        <f t="array" ref="CUA3">_xlfn._xlws.FILTER(Rutas,_xlfn._xlws.FILTER($B$2:$B$10000,$B$2:$B$10000&lt;&gt;"")=VALUE(INDEX(IdClientes,MATCH(CUA2,Clientes,0))))</f>
        <v>#VALUE!</v>
      </c>
      <c r="CUB3" s="28" t="e" cm="1" vm="1">
        <f t="array" ref="CUB3">_xlfn._xlws.FILTER(Rutas,_xlfn._xlws.FILTER($B$2:$B$10000,$B$2:$B$10000&lt;&gt;"")=VALUE(INDEX(IdClientes,MATCH(CUB2,Clientes,0))))</f>
        <v>#VALUE!</v>
      </c>
      <c r="CUC3" s="28" t="e" cm="1" vm="1">
        <f t="array" ref="CUC3">_xlfn._xlws.FILTER(Rutas,_xlfn._xlws.FILTER($B$2:$B$10000,$B$2:$B$10000&lt;&gt;"")=VALUE(INDEX(IdClientes,MATCH(CUC2,Clientes,0))))</f>
        <v>#VALUE!</v>
      </c>
      <c r="CUD3" s="28" t="e" cm="1" vm="1">
        <f t="array" ref="CUD3">_xlfn._xlws.FILTER(Rutas,_xlfn._xlws.FILTER($B$2:$B$10000,$B$2:$B$10000&lt;&gt;"")=VALUE(INDEX(IdClientes,MATCH(CUD2,Clientes,0))))</f>
        <v>#VALUE!</v>
      </c>
      <c r="CUE3" s="28" t="e" cm="1" vm="1">
        <f t="array" ref="CUE3">_xlfn._xlws.FILTER(Rutas,_xlfn._xlws.FILTER($B$2:$B$10000,$B$2:$B$10000&lt;&gt;"")=VALUE(INDEX(IdClientes,MATCH(CUE2,Clientes,0))))</f>
        <v>#VALUE!</v>
      </c>
      <c r="CUF3" s="28" t="e" cm="1" vm="1">
        <f t="array" ref="CUF3">_xlfn._xlws.FILTER(Rutas,_xlfn._xlws.FILTER($B$2:$B$10000,$B$2:$B$10000&lt;&gt;"")=VALUE(INDEX(IdClientes,MATCH(CUF2,Clientes,0))))</f>
        <v>#VALUE!</v>
      </c>
      <c r="CUG3" s="28" t="e" cm="1" vm="1">
        <f t="array" ref="CUG3">_xlfn._xlws.FILTER(Rutas,_xlfn._xlws.FILTER($B$2:$B$10000,$B$2:$B$10000&lt;&gt;"")=VALUE(INDEX(IdClientes,MATCH(CUG2,Clientes,0))))</f>
        <v>#VALUE!</v>
      </c>
      <c r="CUH3" s="28" t="e" cm="1" vm="1">
        <f t="array" ref="CUH3">_xlfn._xlws.FILTER(Rutas,_xlfn._xlws.FILTER($B$2:$B$10000,$B$2:$B$10000&lt;&gt;"")=VALUE(INDEX(IdClientes,MATCH(CUH2,Clientes,0))))</f>
        <v>#VALUE!</v>
      </c>
      <c r="CUI3" s="28" t="e" cm="1" vm="1">
        <f t="array" ref="CUI3">_xlfn._xlws.FILTER(Rutas,_xlfn._xlws.FILTER($B$2:$B$10000,$B$2:$B$10000&lt;&gt;"")=VALUE(INDEX(IdClientes,MATCH(CUI2,Clientes,0))))</f>
        <v>#VALUE!</v>
      </c>
      <c r="CUJ3" s="28" t="e" cm="1" vm="1">
        <f t="array" ref="CUJ3">_xlfn._xlws.FILTER(Rutas,_xlfn._xlws.FILTER($B$2:$B$10000,$B$2:$B$10000&lt;&gt;"")=VALUE(INDEX(IdClientes,MATCH(CUJ2,Clientes,0))))</f>
        <v>#VALUE!</v>
      </c>
      <c r="CUK3" s="28" t="e" cm="1" vm="1">
        <f t="array" ref="CUK3">_xlfn._xlws.FILTER(Rutas,_xlfn._xlws.FILTER($B$2:$B$10000,$B$2:$B$10000&lt;&gt;"")=VALUE(INDEX(IdClientes,MATCH(CUK2,Clientes,0))))</f>
        <v>#VALUE!</v>
      </c>
      <c r="CUL3" s="28" t="e" cm="1" vm="1">
        <f t="array" ref="CUL3">_xlfn._xlws.FILTER(Rutas,_xlfn._xlws.FILTER($B$2:$B$10000,$B$2:$B$10000&lt;&gt;"")=VALUE(INDEX(IdClientes,MATCH(CUL2,Clientes,0))))</f>
        <v>#VALUE!</v>
      </c>
      <c r="CUM3" s="28" t="e" cm="1" vm="1">
        <f t="array" ref="CUM3">_xlfn._xlws.FILTER(Rutas,_xlfn._xlws.FILTER($B$2:$B$10000,$B$2:$B$10000&lt;&gt;"")=VALUE(INDEX(IdClientes,MATCH(CUM2,Clientes,0))))</f>
        <v>#VALUE!</v>
      </c>
      <c r="CUN3" s="28" t="e" cm="1" vm="1">
        <f t="array" ref="CUN3">_xlfn._xlws.FILTER(Rutas,_xlfn._xlws.FILTER($B$2:$B$10000,$B$2:$B$10000&lt;&gt;"")=VALUE(INDEX(IdClientes,MATCH(CUN2,Clientes,0))))</f>
        <v>#VALUE!</v>
      </c>
      <c r="CUO3" s="28" t="e" cm="1" vm="1">
        <f t="array" ref="CUO3">_xlfn._xlws.FILTER(Rutas,_xlfn._xlws.FILTER($B$2:$B$10000,$B$2:$B$10000&lt;&gt;"")=VALUE(INDEX(IdClientes,MATCH(CUO2,Clientes,0))))</f>
        <v>#VALUE!</v>
      </c>
      <c r="CUP3" s="28" t="e" cm="1" vm="1">
        <f t="array" ref="CUP3">_xlfn._xlws.FILTER(Rutas,_xlfn._xlws.FILTER($B$2:$B$10000,$B$2:$B$10000&lt;&gt;"")=VALUE(INDEX(IdClientes,MATCH(CUP2,Clientes,0))))</f>
        <v>#VALUE!</v>
      </c>
      <c r="CUQ3" s="28" t="e" cm="1" vm="1">
        <f t="array" ref="CUQ3">_xlfn._xlws.FILTER(Rutas,_xlfn._xlws.FILTER($B$2:$B$10000,$B$2:$B$10000&lt;&gt;"")=VALUE(INDEX(IdClientes,MATCH(CUQ2,Clientes,0))))</f>
        <v>#VALUE!</v>
      </c>
      <c r="CUR3" s="28" t="e" cm="1" vm="1">
        <f t="array" ref="CUR3">_xlfn._xlws.FILTER(Rutas,_xlfn._xlws.FILTER($B$2:$B$10000,$B$2:$B$10000&lt;&gt;"")=VALUE(INDEX(IdClientes,MATCH(CUR2,Clientes,0))))</f>
        <v>#VALUE!</v>
      </c>
      <c r="CUS3" s="28" t="e" cm="1" vm="1">
        <f t="array" ref="CUS3">_xlfn._xlws.FILTER(Rutas,_xlfn._xlws.FILTER($B$2:$B$10000,$B$2:$B$10000&lt;&gt;"")=VALUE(INDEX(IdClientes,MATCH(CUS2,Clientes,0))))</f>
        <v>#VALUE!</v>
      </c>
      <c r="CUT3" s="28" t="e" cm="1" vm="1">
        <f t="array" ref="CUT3">_xlfn._xlws.FILTER(Rutas,_xlfn._xlws.FILTER($B$2:$B$10000,$B$2:$B$10000&lt;&gt;"")=VALUE(INDEX(IdClientes,MATCH(CUT2,Clientes,0))))</f>
        <v>#VALUE!</v>
      </c>
      <c r="CUU3" s="28" t="e" cm="1" vm="1">
        <f t="array" ref="CUU3">_xlfn._xlws.FILTER(Rutas,_xlfn._xlws.FILTER($B$2:$B$10000,$B$2:$B$10000&lt;&gt;"")=VALUE(INDEX(IdClientes,MATCH(CUU2,Clientes,0))))</f>
        <v>#VALUE!</v>
      </c>
      <c r="CUV3" s="28" t="e" cm="1" vm="1">
        <f t="array" ref="CUV3">_xlfn._xlws.FILTER(Rutas,_xlfn._xlws.FILTER($B$2:$B$10000,$B$2:$B$10000&lt;&gt;"")=VALUE(INDEX(IdClientes,MATCH(CUV2,Clientes,0))))</f>
        <v>#VALUE!</v>
      </c>
      <c r="CUW3" s="28" t="e" cm="1" vm="1">
        <f t="array" ref="CUW3">_xlfn._xlws.FILTER(Rutas,_xlfn._xlws.FILTER($B$2:$B$10000,$B$2:$B$10000&lt;&gt;"")=VALUE(INDEX(IdClientes,MATCH(CUW2,Clientes,0))))</f>
        <v>#VALUE!</v>
      </c>
      <c r="CUX3" s="28" t="e" cm="1" vm="1">
        <f t="array" ref="CUX3">_xlfn._xlws.FILTER(Rutas,_xlfn._xlws.FILTER($B$2:$B$10000,$B$2:$B$10000&lt;&gt;"")=VALUE(INDEX(IdClientes,MATCH(CUX2,Clientes,0))))</f>
        <v>#VALUE!</v>
      </c>
      <c r="CUY3" s="28" t="e" cm="1" vm="1">
        <f t="array" ref="CUY3">_xlfn._xlws.FILTER(Rutas,_xlfn._xlws.FILTER($B$2:$B$10000,$B$2:$B$10000&lt;&gt;"")=VALUE(INDEX(IdClientes,MATCH(CUY2,Clientes,0))))</f>
        <v>#VALUE!</v>
      </c>
      <c r="CUZ3" s="28" t="e" cm="1" vm="1">
        <f t="array" ref="CUZ3">_xlfn._xlws.FILTER(Rutas,_xlfn._xlws.FILTER($B$2:$B$10000,$B$2:$B$10000&lt;&gt;"")=VALUE(INDEX(IdClientes,MATCH(CUZ2,Clientes,0))))</f>
        <v>#VALUE!</v>
      </c>
      <c r="CVA3" s="28" t="e" cm="1" vm="1">
        <f t="array" ref="CVA3">_xlfn._xlws.FILTER(Rutas,_xlfn._xlws.FILTER($B$2:$B$10000,$B$2:$B$10000&lt;&gt;"")=VALUE(INDEX(IdClientes,MATCH(CVA2,Clientes,0))))</f>
        <v>#VALUE!</v>
      </c>
      <c r="CVB3" s="28" t="e" cm="1" vm="1">
        <f t="array" ref="CVB3">_xlfn._xlws.FILTER(Rutas,_xlfn._xlws.FILTER($B$2:$B$10000,$B$2:$B$10000&lt;&gt;"")=VALUE(INDEX(IdClientes,MATCH(CVB2,Clientes,0))))</f>
        <v>#VALUE!</v>
      </c>
      <c r="CVC3" s="28" t="e" cm="1" vm="1">
        <f t="array" ref="CVC3">_xlfn._xlws.FILTER(Rutas,_xlfn._xlws.FILTER($B$2:$B$10000,$B$2:$B$10000&lt;&gt;"")=VALUE(INDEX(IdClientes,MATCH(CVC2,Clientes,0))))</f>
        <v>#VALUE!</v>
      </c>
      <c r="CVD3" s="28" t="e" cm="1" vm="1">
        <f t="array" ref="CVD3">_xlfn._xlws.FILTER(Rutas,_xlfn._xlws.FILTER($B$2:$B$10000,$B$2:$B$10000&lt;&gt;"")=VALUE(INDEX(IdClientes,MATCH(CVD2,Clientes,0))))</f>
        <v>#VALUE!</v>
      </c>
      <c r="CVE3" s="28" t="e" cm="1" vm="1">
        <f t="array" ref="CVE3">_xlfn._xlws.FILTER(Rutas,_xlfn._xlws.FILTER($B$2:$B$10000,$B$2:$B$10000&lt;&gt;"")=VALUE(INDEX(IdClientes,MATCH(CVE2,Clientes,0))))</f>
        <v>#VALUE!</v>
      </c>
      <c r="CVF3" s="28" t="e" cm="1" vm="1">
        <f t="array" ref="CVF3">_xlfn._xlws.FILTER(Rutas,_xlfn._xlws.FILTER($B$2:$B$10000,$B$2:$B$10000&lt;&gt;"")=VALUE(INDEX(IdClientes,MATCH(CVF2,Clientes,0))))</f>
        <v>#VALUE!</v>
      </c>
      <c r="CVG3" s="28" t="e" cm="1" vm="1">
        <f t="array" ref="CVG3">_xlfn._xlws.FILTER(Rutas,_xlfn._xlws.FILTER($B$2:$B$10000,$B$2:$B$10000&lt;&gt;"")=VALUE(INDEX(IdClientes,MATCH(CVG2,Clientes,0))))</f>
        <v>#VALUE!</v>
      </c>
      <c r="CVH3" s="28" t="e" cm="1" vm="1">
        <f t="array" ref="CVH3">_xlfn._xlws.FILTER(Rutas,_xlfn._xlws.FILTER($B$2:$B$10000,$B$2:$B$10000&lt;&gt;"")=VALUE(INDEX(IdClientes,MATCH(CVH2,Clientes,0))))</f>
        <v>#VALUE!</v>
      </c>
      <c r="CVI3" s="28" t="e" cm="1" vm="1">
        <f t="array" ref="CVI3">_xlfn._xlws.FILTER(Rutas,_xlfn._xlws.FILTER($B$2:$B$10000,$B$2:$B$10000&lt;&gt;"")=VALUE(INDEX(IdClientes,MATCH(CVI2,Clientes,0))))</f>
        <v>#VALUE!</v>
      </c>
      <c r="CVJ3" s="28" t="e" cm="1" vm="1">
        <f t="array" ref="CVJ3">_xlfn._xlws.FILTER(Rutas,_xlfn._xlws.FILTER($B$2:$B$10000,$B$2:$B$10000&lt;&gt;"")=VALUE(INDEX(IdClientes,MATCH(CVJ2,Clientes,0))))</f>
        <v>#VALUE!</v>
      </c>
      <c r="CVK3" s="28" t="e" cm="1" vm="1">
        <f t="array" ref="CVK3">_xlfn._xlws.FILTER(Rutas,_xlfn._xlws.FILTER($B$2:$B$10000,$B$2:$B$10000&lt;&gt;"")=VALUE(INDEX(IdClientes,MATCH(CVK2,Clientes,0))))</f>
        <v>#VALUE!</v>
      </c>
      <c r="CVL3" s="28" t="e" cm="1" vm="1">
        <f t="array" ref="CVL3">_xlfn._xlws.FILTER(Rutas,_xlfn._xlws.FILTER($B$2:$B$10000,$B$2:$B$10000&lt;&gt;"")=VALUE(INDEX(IdClientes,MATCH(CVL2,Clientes,0))))</f>
        <v>#VALUE!</v>
      </c>
      <c r="CVM3" s="28" t="e" cm="1" vm="1">
        <f t="array" ref="CVM3">_xlfn._xlws.FILTER(Rutas,_xlfn._xlws.FILTER($B$2:$B$10000,$B$2:$B$10000&lt;&gt;"")=VALUE(INDEX(IdClientes,MATCH(CVM2,Clientes,0))))</f>
        <v>#VALUE!</v>
      </c>
      <c r="CVN3" s="28" t="e" cm="1" vm="1">
        <f t="array" ref="CVN3">_xlfn._xlws.FILTER(Rutas,_xlfn._xlws.FILTER($B$2:$B$10000,$B$2:$B$10000&lt;&gt;"")=VALUE(INDEX(IdClientes,MATCH(CVN2,Clientes,0))))</f>
        <v>#VALUE!</v>
      </c>
      <c r="CVO3" s="28" t="e" cm="1" vm="1">
        <f t="array" ref="CVO3">_xlfn._xlws.FILTER(Rutas,_xlfn._xlws.FILTER($B$2:$B$10000,$B$2:$B$10000&lt;&gt;"")=VALUE(INDEX(IdClientes,MATCH(CVO2,Clientes,0))))</f>
        <v>#VALUE!</v>
      </c>
      <c r="CVP3" s="28" t="e" cm="1" vm="1">
        <f t="array" ref="CVP3">_xlfn._xlws.FILTER(Rutas,_xlfn._xlws.FILTER($B$2:$B$10000,$B$2:$B$10000&lt;&gt;"")=VALUE(INDEX(IdClientes,MATCH(CVP2,Clientes,0))))</f>
        <v>#VALUE!</v>
      </c>
      <c r="CVQ3" s="28" t="e" cm="1" vm="1">
        <f t="array" ref="CVQ3">_xlfn._xlws.FILTER(Rutas,_xlfn._xlws.FILTER($B$2:$B$10000,$B$2:$B$10000&lt;&gt;"")=VALUE(INDEX(IdClientes,MATCH(CVQ2,Clientes,0))))</f>
        <v>#VALUE!</v>
      </c>
      <c r="CVR3" s="28" t="e" cm="1" vm="1">
        <f t="array" ref="CVR3">_xlfn._xlws.FILTER(Rutas,_xlfn._xlws.FILTER($B$2:$B$10000,$B$2:$B$10000&lt;&gt;"")=VALUE(INDEX(IdClientes,MATCH(CVR2,Clientes,0))))</f>
        <v>#VALUE!</v>
      </c>
      <c r="CVS3" s="28" t="e" cm="1" vm="1">
        <f t="array" ref="CVS3">_xlfn._xlws.FILTER(Rutas,_xlfn._xlws.FILTER($B$2:$B$10000,$B$2:$B$10000&lt;&gt;"")=VALUE(INDEX(IdClientes,MATCH(CVS2,Clientes,0))))</f>
        <v>#VALUE!</v>
      </c>
      <c r="CVT3" s="28" t="e" cm="1" vm="1">
        <f t="array" ref="CVT3">_xlfn._xlws.FILTER(Rutas,_xlfn._xlws.FILTER($B$2:$B$10000,$B$2:$B$10000&lt;&gt;"")=VALUE(INDEX(IdClientes,MATCH(CVT2,Clientes,0))))</f>
        <v>#VALUE!</v>
      </c>
      <c r="CVU3" s="28" t="e" cm="1" vm="1">
        <f t="array" ref="CVU3">_xlfn._xlws.FILTER(Rutas,_xlfn._xlws.FILTER($B$2:$B$10000,$B$2:$B$10000&lt;&gt;"")=VALUE(INDEX(IdClientes,MATCH(CVU2,Clientes,0))))</f>
        <v>#VALUE!</v>
      </c>
      <c r="CVV3" s="28" t="e" cm="1" vm="1">
        <f t="array" ref="CVV3">_xlfn._xlws.FILTER(Rutas,_xlfn._xlws.FILTER($B$2:$B$10000,$B$2:$B$10000&lt;&gt;"")=VALUE(INDEX(IdClientes,MATCH(CVV2,Clientes,0))))</f>
        <v>#VALUE!</v>
      </c>
      <c r="CVW3" s="28" t="e" cm="1" vm="1">
        <f t="array" ref="CVW3">_xlfn._xlws.FILTER(Rutas,_xlfn._xlws.FILTER($B$2:$B$10000,$B$2:$B$10000&lt;&gt;"")=VALUE(INDEX(IdClientes,MATCH(CVW2,Clientes,0))))</f>
        <v>#VALUE!</v>
      </c>
      <c r="CVX3" s="28" t="e" cm="1" vm="1">
        <f t="array" ref="CVX3">_xlfn._xlws.FILTER(Rutas,_xlfn._xlws.FILTER($B$2:$B$10000,$B$2:$B$10000&lt;&gt;"")=VALUE(INDEX(IdClientes,MATCH(CVX2,Clientes,0))))</f>
        <v>#VALUE!</v>
      </c>
      <c r="CVY3" s="28" t="e" cm="1" vm="1">
        <f t="array" ref="CVY3">_xlfn._xlws.FILTER(Rutas,_xlfn._xlws.FILTER($B$2:$B$10000,$B$2:$B$10000&lt;&gt;"")=VALUE(INDEX(IdClientes,MATCH(CVY2,Clientes,0))))</f>
        <v>#VALUE!</v>
      </c>
      <c r="CVZ3" s="28" t="e" cm="1" vm="1">
        <f t="array" ref="CVZ3">_xlfn._xlws.FILTER(Rutas,_xlfn._xlws.FILTER($B$2:$B$10000,$B$2:$B$10000&lt;&gt;"")=VALUE(INDEX(IdClientes,MATCH(CVZ2,Clientes,0))))</f>
        <v>#VALUE!</v>
      </c>
      <c r="CWA3" s="28" t="e" cm="1" vm="1">
        <f t="array" ref="CWA3">_xlfn._xlws.FILTER(Rutas,_xlfn._xlws.FILTER($B$2:$B$10000,$B$2:$B$10000&lt;&gt;"")=VALUE(INDEX(IdClientes,MATCH(CWA2,Clientes,0))))</f>
        <v>#VALUE!</v>
      </c>
      <c r="CWB3" s="28" t="e" cm="1" vm="1">
        <f t="array" ref="CWB3">_xlfn._xlws.FILTER(Rutas,_xlfn._xlws.FILTER($B$2:$B$10000,$B$2:$B$10000&lt;&gt;"")=VALUE(INDEX(IdClientes,MATCH(CWB2,Clientes,0))))</f>
        <v>#VALUE!</v>
      </c>
      <c r="CWC3" s="28" t="e" cm="1" vm="1">
        <f t="array" ref="CWC3">_xlfn._xlws.FILTER(Rutas,_xlfn._xlws.FILTER($B$2:$B$10000,$B$2:$B$10000&lt;&gt;"")=VALUE(INDEX(IdClientes,MATCH(CWC2,Clientes,0))))</f>
        <v>#VALUE!</v>
      </c>
      <c r="CWD3" s="28" t="e" cm="1" vm="1">
        <f t="array" ref="CWD3">_xlfn._xlws.FILTER(Rutas,_xlfn._xlws.FILTER($B$2:$B$10000,$B$2:$B$10000&lt;&gt;"")=VALUE(INDEX(IdClientes,MATCH(CWD2,Clientes,0))))</f>
        <v>#VALUE!</v>
      </c>
      <c r="CWE3" s="28" t="e" cm="1" vm="1">
        <f t="array" ref="CWE3">_xlfn._xlws.FILTER(Rutas,_xlfn._xlws.FILTER($B$2:$B$10000,$B$2:$B$10000&lt;&gt;"")=VALUE(INDEX(IdClientes,MATCH(CWE2,Clientes,0))))</f>
        <v>#VALUE!</v>
      </c>
      <c r="CWF3" s="28" t="e" cm="1" vm="1">
        <f t="array" ref="CWF3">_xlfn._xlws.FILTER(Rutas,_xlfn._xlws.FILTER($B$2:$B$10000,$B$2:$B$10000&lt;&gt;"")=VALUE(INDEX(IdClientes,MATCH(CWF2,Clientes,0))))</f>
        <v>#VALUE!</v>
      </c>
      <c r="CWG3" s="28" t="e" cm="1" vm="1">
        <f t="array" ref="CWG3">_xlfn._xlws.FILTER(Rutas,_xlfn._xlws.FILTER($B$2:$B$10000,$B$2:$B$10000&lt;&gt;"")=VALUE(INDEX(IdClientes,MATCH(CWG2,Clientes,0))))</f>
        <v>#VALUE!</v>
      </c>
      <c r="CWH3" s="28" t="e" cm="1" vm="1">
        <f t="array" ref="CWH3">_xlfn._xlws.FILTER(Rutas,_xlfn._xlws.FILTER($B$2:$B$10000,$B$2:$B$10000&lt;&gt;"")=VALUE(INDEX(IdClientes,MATCH(CWH2,Clientes,0))))</f>
        <v>#VALUE!</v>
      </c>
      <c r="CWI3" s="28" t="e" cm="1" vm="1">
        <f t="array" ref="CWI3">_xlfn._xlws.FILTER(Rutas,_xlfn._xlws.FILTER($B$2:$B$10000,$B$2:$B$10000&lt;&gt;"")=VALUE(INDEX(IdClientes,MATCH(CWI2,Clientes,0))))</f>
        <v>#VALUE!</v>
      </c>
      <c r="CWJ3" s="28" t="e" cm="1" vm="1">
        <f t="array" ref="CWJ3">_xlfn._xlws.FILTER(Rutas,_xlfn._xlws.FILTER($B$2:$B$10000,$B$2:$B$10000&lt;&gt;"")=VALUE(INDEX(IdClientes,MATCH(CWJ2,Clientes,0))))</f>
        <v>#VALUE!</v>
      </c>
      <c r="CWK3" s="28" t="e" cm="1" vm="1">
        <f t="array" ref="CWK3">_xlfn._xlws.FILTER(Rutas,_xlfn._xlws.FILTER($B$2:$B$10000,$B$2:$B$10000&lt;&gt;"")=VALUE(INDEX(IdClientes,MATCH(CWK2,Clientes,0))))</f>
        <v>#VALUE!</v>
      </c>
      <c r="CWL3" s="28" t="e" cm="1" vm="1">
        <f t="array" ref="CWL3">_xlfn._xlws.FILTER(Rutas,_xlfn._xlws.FILTER($B$2:$B$10000,$B$2:$B$10000&lt;&gt;"")=VALUE(INDEX(IdClientes,MATCH(CWL2,Clientes,0))))</f>
        <v>#VALUE!</v>
      </c>
      <c r="CWM3" s="28" t="e" cm="1" vm="1">
        <f t="array" ref="CWM3">_xlfn._xlws.FILTER(Rutas,_xlfn._xlws.FILTER($B$2:$B$10000,$B$2:$B$10000&lt;&gt;"")=VALUE(INDEX(IdClientes,MATCH(CWM2,Clientes,0))))</f>
        <v>#VALUE!</v>
      </c>
      <c r="CWN3" s="28" t="e" cm="1" vm="1">
        <f t="array" ref="CWN3">_xlfn._xlws.FILTER(Rutas,_xlfn._xlws.FILTER($B$2:$B$10000,$B$2:$B$10000&lt;&gt;"")=VALUE(INDEX(IdClientes,MATCH(CWN2,Clientes,0))))</f>
        <v>#VALUE!</v>
      </c>
      <c r="CWO3" s="28" t="e" cm="1" vm="1">
        <f t="array" ref="CWO3">_xlfn._xlws.FILTER(Rutas,_xlfn._xlws.FILTER($B$2:$B$10000,$B$2:$B$10000&lt;&gt;"")=VALUE(INDEX(IdClientes,MATCH(CWO2,Clientes,0))))</f>
        <v>#VALUE!</v>
      </c>
      <c r="CWP3" s="28" t="e" cm="1" vm="1">
        <f t="array" ref="CWP3">_xlfn._xlws.FILTER(Rutas,_xlfn._xlws.FILTER($B$2:$B$10000,$B$2:$B$10000&lt;&gt;"")=VALUE(INDEX(IdClientes,MATCH(CWP2,Clientes,0))))</f>
        <v>#VALUE!</v>
      </c>
      <c r="CWQ3" s="28" t="e" cm="1" vm="1">
        <f t="array" ref="CWQ3">_xlfn._xlws.FILTER(Rutas,_xlfn._xlws.FILTER($B$2:$B$10000,$B$2:$B$10000&lt;&gt;"")=VALUE(INDEX(IdClientes,MATCH(CWQ2,Clientes,0))))</f>
        <v>#VALUE!</v>
      </c>
      <c r="CWR3" s="28" t="e" cm="1" vm="1">
        <f t="array" ref="CWR3">_xlfn._xlws.FILTER(Rutas,_xlfn._xlws.FILTER($B$2:$B$10000,$B$2:$B$10000&lt;&gt;"")=VALUE(INDEX(IdClientes,MATCH(CWR2,Clientes,0))))</f>
        <v>#VALUE!</v>
      </c>
      <c r="CWS3" s="28" t="e" cm="1" vm="1">
        <f t="array" ref="CWS3">_xlfn._xlws.FILTER(Rutas,_xlfn._xlws.FILTER($B$2:$B$10000,$B$2:$B$10000&lt;&gt;"")=VALUE(INDEX(IdClientes,MATCH(CWS2,Clientes,0))))</f>
        <v>#VALUE!</v>
      </c>
      <c r="CWT3" s="28" t="e" cm="1" vm="1">
        <f t="array" ref="CWT3">_xlfn._xlws.FILTER(Rutas,_xlfn._xlws.FILTER($B$2:$B$10000,$B$2:$B$10000&lt;&gt;"")=VALUE(INDEX(IdClientes,MATCH(CWT2,Clientes,0))))</f>
        <v>#VALUE!</v>
      </c>
      <c r="CWU3" s="28" t="e" cm="1" vm="1">
        <f t="array" ref="CWU3">_xlfn._xlws.FILTER(Rutas,_xlfn._xlws.FILTER($B$2:$B$10000,$B$2:$B$10000&lt;&gt;"")=VALUE(INDEX(IdClientes,MATCH(CWU2,Clientes,0))))</f>
        <v>#VALUE!</v>
      </c>
      <c r="CWV3" s="28" t="e" cm="1" vm="1">
        <f t="array" ref="CWV3">_xlfn._xlws.FILTER(Rutas,_xlfn._xlws.FILTER($B$2:$B$10000,$B$2:$B$10000&lt;&gt;"")=VALUE(INDEX(IdClientes,MATCH(CWV2,Clientes,0))))</f>
        <v>#VALUE!</v>
      </c>
      <c r="CWW3" s="28" t="e" cm="1" vm="1">
        <f t="array" ref="CWW3">_xlfn._xlws.FILTER(Rutas,_xlfn._xlws.FILTER($B$2:$B$10000,$B$2:$B$10000&lt;&gt;"")=VALUE(INDEX(IdClientes,MATCH(CWW2,Clientes,0))))</f>
        <v>#VALUE!</v>
      </c>
      <c r="CWX3" s="28" t="e" cm="1" vm="1">
        <f t="array" ref="CWX3">_xlfn._xlws.FILTER(Rutas,_xlfn._xlws.FILTER($B$2:$B$10000,$B$2:$B$10000&lt;&gt;"")=VALUE(INDEX(IdClientes,MATCH(CWX2,Clientes,0))))</f>
        <v>#VALUE!</v>
      </c>
      <c r="CWY3" s="28" t="e" cm="1" vm="1">
        <f t="array" ref="CWY3">_xlfn._xlws.FILTER(Rutas,_xlfn._xlws.FILTER($B$2:$B$10000,$B$2:$B$10000&lt;&gt;"")=VALUE(INDEX(IdClientes,MATCH(CWY2,Clientes,0))))</f>
        <v>#VALUE!</v>
      </c>
      <c r="CWZ3" s="28" t="e" cm="1" vm="1">
        <f t="array" ref="CWZ3">_xlfn._xlws.FILTER(Rutas,_xlfn._xlws.FILTER($B$2:$B$10000,$B$2:$B$10000&lt;&gt;"")=VALUE(INDEX(IdClientes,MATCH(CWZ2,Clientes,0))))</f>
        <v>#VALUE!</v>
      </c>
      <c r="CXA3" s="28" t="e" cm="1" vm="1">
        <f t="array" ref="CXA3">_xlfn._xlws.FILTER(Rutas,_xlfn._xlws.FILTER($B$2:$B$10000,$B$2:$B$10000&lt;&gt;"")=VALUE(INDEX(IdClientes,MATCH(CXA2,Clientes,0))))</f>
        <v>#VALUE!</v>
      </c>
      <c r="CXB3" s="28" t="e" cm="1" vm="1">
        <f t="array" ref="CXB3">_xlfn._xlws.FILTER(Rutas,_xlfn._xlws.FILTER($B$2:$B$10000,$B$2:$B$10000&lt;&gt;"")=VALUE(INDEX(IdClientes,MATCH(CXB2,Clientes,0))))</f>
        <v>#VALUE!</v>
      </c>
      <c r="CXC3" s="28" t="e" cm="1" vm="1">
        <f t="array" ref="CXC3">_xlfn._xlws.FILTER(Rutas,_xlfn._xlws.FILTER($B$2:$B$10000,$B$2:$B$10000&lt;&gt;"")=VALUE(INDEX(IdClientes,MATCH(CXC2,Clientes,0))))</f>
        <v>#VALUE!</v>
      </c>
      <c r="CXD3" s="28" t="e" cm="1" vm="1">
        <f t="array" ref="CXD3">_xlfn._xlws.FILTER(Rutas,_xlfn._xlws.FILTER($B$2:$B$10000,$B$2:$B$10000&lt;&gt;"")=VALUE(INDEX(IdClientes,MATCH(CXD2,Clientes,0))))</f>
        <v>#VALUE!</v>
      </c>
      <c r="CXE3" s="28" t="e" cm="1" vm="1">
        <f t="array" ref="CXE3">_xlfn._xlws.FILTER(Rutas,_xlfn._xlws.FILTER($B$2:$B$10000,$B$2:$B$10000&lt;&gt;"")=VALUE(INDEX(IdClientes,MATCH(CXE2,Clientes,0))))</f>
        <v>#VALUE!</v>
      </c>
      <c r="CXF3" s="28" t="e" cm="1" vm="1">
        <f t="array" ref="CXF3">_xlfn._xlws.FILTER(Rutas,_xlfn._xlws.FILTER($B$2:$B$10000,$B$2:$B$10000&lt;&gt;"")=VALUE(INDEX(IdClientes,MATCH(CXF2,Clientes,0))))</f>
        <v>#VALUE!</v>
      </c>
      <c r="CXG3" s="28" t="e" cm="1" vm="1">
        <f t="array" ref="CXG3">_xlfn._xlws.FILTER(Rutas,_xlfn._xlws.FILTER($B$2:$B$10000,$B$2:$B$10000&lt;&gt;"")=VALUE(INDEX(IdClientes,MATCH(CXG2,Clientes,0))))</f>
        <v>#VALUE!</v>
      </c>
      <c r="CXH3" s="28" t="e" cm="1" vm="1">
        <f t="array" ref="CXH3">_xlfn._xlws.FILTER(Rutas,_xlfn._xlws.FILTER($B$2:$B$10000,$B$2:$B$10000&lt;&gt;"")=VALUE(INDEX(IdClientes,MATCH(CXH2,Clientes,0))))</f>
        <v>#VALUE!</v>
      </c>
      <c r="CXI3" s="28" t="e" cm="1" vm="1">
        <f t="array" ref="CXI3">_xlfn._xlws.FILTER(Rutas,_xlfn._xlws.FILTER($B$2:$B$10000,$B$2:$B$10000&lt;&gt;"")=VALUE(INDEX(IdClientes,MATCH(CXI2,Clientes,0))))</f>
        <v>#VALUE!</v>
      </c>
      <c r="CXJ3" s="28" t="e" cm="1" vm="1">
        <f t="array" ref="CXJ3">_xlfn._xlws.FILTER(Rutas,_xlfn._xlws.FILTER($B$2:$B$10000,$B$2:$B$10000&lt;&gt;"")=VALUE(INDEX(IdClientes,MATCH(CXJ2,Clientes,0))))</f>
        <v>#VALUE!</v>
      </c>
      <c r="CXK3" s="28" t="e" cm="1" vm="1">
        <f t="array" ref="CXK3">_xlfn._xlws.FILTER(Rutas,_xlfn._xlws.FILTER($B$2:$B$10000,$B$2:$B$10000&lt;&gt;"")=VALUE(INDEX(IdClientes,MATCH(CXK2,Clientes,0))))</f>
        <v>#VALUE!</v>
      </c>
      <c r="CXL3" s="28" t="e" cm="1" vm="1">
        <f t="array" ref="CXL3">_xlfn._xlws.FILTER(Rutas,_xlfn._xlws.FILTER($B$2:$B$10000,$B$2:$B$10000&lt;&gt;"")=VALUE(INDEX(IdClientes,MATCH(CXL2,Clientes,0))))</f>
        <v>#VALUE!</v>
      </c>
      <c r="CXM3" s="28" t="e" cm="1" vm="1">
        <f t="array" ref="CXM3">_xlfn._xlws.FILTER(Rutas,_xlfn._xlws.FILTER($B$2:$B$10000,$B$2:$B$10000&lt;&gt;"")=VALUE(INDEX(IdClientes,MATCH(CXM2,Clientes,0))))</f>
        <v>#VALUE!</v>
      </c>
      <c r="CXN3" s="28" t="e" cm="1" vm="1">
        <f t="array" ref="CXN3">_xlfn._xlws.FILTER(Rutas,_xlfn._xlws.FILTER($B$2:$B$10000,$B$2:$B$10000&lt;&gt;"")=VALUE(INDEX(IdClientes,MATCH(CXN2,Clientes,0))))</f>
        <v>#VALUE!</v>
      </c>
      <c r="CXO3" s="28" t="e" cm="1" vm="1">
        <f t="array" ref="CXO3">_xlfn._xlws.FILTER(Rutas,_xlfn._xlws.FILTER($B$2:$B$10000,$B$2:$B$10000&lt;&gt;"")=VALUE(INDEX(IdClientes,MATCH(CXO2,Clientes,0))))</f>
        <v>#VALUE!</v>
      </c>
      <c r="CXP3" s="28" t="e" cm="1" vm="1">
        <f t="array" ref="CXP3">_xlfn._xlws.FILTER(Rutas,_xlfn._xlws.FILTER($B$2:$B$10000,$B$2:$B$10000&lt;&gt;"")=VALUE(INDEX(IdClientes,MATCH(CXP2,Clientes,0))))</f>
        <v>#VALUE!</v>
      </c>
      <c r="CXQ3" s="28" t="e" cm="1" vm="1">
        <f t="array" ref="CXQ3">_xlfn._xlws.FILTER(Rutas,_xlfn._xlws.FILTER($B$2:$B$10000,$B$2:$B$10000&lt;&gt;"")=VALUE(INDEX(IdClientes,MATCH(CXQ2,Clientes,0))))</f>
        <v>#VALUE!</v>
      </c>
      <c r="CXR3" s="28" t="e" cm="1" vm="1">
        <f t="array" ref="CXR3">_xlfn._xlws.FILTER(Rutas,_xlfn._xlws.FILTER($B$2:$B$10000,$B$2:$B$10000&lt;&gt;"")=VALUE(INDEX(IdClientes,MATCH(CXR2,Clientes,0))))</f>
        <v>#VALUE!</v>
      </c>
      <c r="CXS3" s="28" t="e" cm="1" vm="1">
        <f t="array" ref="CXS3">_xlfn._xlws.FILTER(Rutas,_xlfn._xlws.FILTER($B$2:$B$10000,$B$2:$B$10000&lt;&gt;"")=VALUE(INDEX(IdClientes,MATCH(CXS2,Clientes,0))))</f>
        <v>#VALUE!</v>
      </c>
      <c r="CXT3" s="28" t="e" cm="1" vm="1">
        <f t="array" ref="CXT3">_xlfn._xlws.FILTER(Rutas,_xlfn._xlws.FILTER($B$2:$B$10000,$B$2:$B$10000&lt;&gt;"")=VALUE(INDEX(IdClientes,MATCH(CXT2,Clientes,0))))</f>
        <v>#VALUE!</v>
      </c>
      <c r="CXU3" s="28" t="e" cm="1" vm="1">
        <f t="array" ref="CXU3">_xlfn._xlws.FILTER(Rutas,_xlfn._xlws.FILTER($B$2:$B$10000,$B$2:$B$10000&lt;&gt;"")=VALUE(INDEX(IdClientes,MATCH(CXU2,Clientes,0))))</f>
        <v>#VALUE!</v>
      </c>
      <c r="CXV3" s="28" t="e" cm="1" vm="1">
        <f t="array" ref="CXV3">_xlfn._xlws.FILTER(Rutas,_xlfn._xlws.FILTER($B$2:$B$10000,$B$2:$B$10000&lt;&gt;"")=VALUE(INDEX(IdClientes,MATCH(CXV2,Clientes,0))))</f>
        <v>#VALUE!</v>
      </c>
      <c r="CXW3" s="28" t="e" cm="1" vm="1">
        <f t="array" ref="CXW3">_xlfn._xlws.FILTER(Rutas,_xlfn._xlws.FILTER($B$2:$B$10000,$B$2:$B$10000&lt;&gt;"")=VALUE(INDEX(IdClientes,MATCH(CXW2,Clientes,0))))</f>
        <v>#VALUE!</v>
      </c>
      <c r="CXX3" s="28" t="e" cm="1" vm="1">
        <f t="array" ref="CXX3">_xlfn._xlws.FILTER(Rutas,_xlfn._xlws.FILTER($B$2:$B$10000,$B$2:$B$10000&lt;&gt;"")=VALUE(INDEX(IdClientes,MATCH(CXX2,Clientes,0))))</f>
        <v>#VALUE!</v>
      </c>
      <c r="CXY3" s="28" t="e" cm="1" vm="1">
        <f t="array" ref="CXY3">_xlfn._xlws.FILTER(Rutas,_xlfn._xlws.FILTER($B$2:$B$10000,$B$2:$B$10000&lt;&gt;"")=VALUE(INDEX(IdClientes,MATCH(CXY2,Clientes,0))))</f>
        <v>#VALUE!</v>
      </c>
      <c r="CXZ3" s="28" t="e" cm="1" vm="1">
        <f t="array" ref="CXZ3">_xlfn._xlws.FILTER(Rutas,_xlfn._xlws.FILTER($B$2:$B$10000,$B$2:$B$10000&lt;&gt;"")=VALUE(INDEX(IdClientes,MATCH(CXZ2,Clientes,0))))</f>
        <v>#VALUE!</v>
      </c>
      <c r="CYA3" s="28" t="e" cm="1" vm="1">
        <f t="array" ref="CYA3">_xlfn._xlws.FILTER(Rutas,_xlfn._xlws.FILTER($B$2:$B$10000,$B$2:$B$10000&lt;&gt;"")=VALUE(INDEX(IdClientes,MATCH(CYA2,Clientes,0))))</f>
        <v>#VALUE!</v>
      </c>
      <c r="CYB3" s="28" t="e" cm="1" vm="1">
        <f t="array" ref="CYB3">_xlfn._xlws.FILTER(Rutas,_xlfn._xlws.FILTER($B$2:$B$10000,$B$2:$B$10000&lt;&gt;"")=VALUE(INDEX(IdClientes,MATCH(CYB2,Clientes,0))))</f>
        <v>#VALUE!</v>
      </c>
      <c r="CYC3" s="28" t="e" cm="1" vm="1">
        <f t="array" ref="CYC3">_xlfn._xlws.FILTER(Rutas,_xlfn._xlws.FILTER($B$2:$B$10000,$B$2:$B$10000&lt;&gt;"")=VALUE(INDEX(IdClientes,MATCH(CYC2,Clientes,0))))</f>
        <v>#VALUE!</v>
      </c>
      <c r="CYD3" s="28" t="e" cm="1" vm="1">
        <f t="array" ref="CYD3">_xlfn._xlws.FILTER(Rutas,_xlfn._xlws.FILTER($B$2:$B$10000,$B$2:$B$10000&lt;&gt;"")=VALUE(INDEX(IdClientes,MATCH(CYD2,Clientes,0))))</f>
        <v>#VALUE!</v>
      </c>
      <c r="CYE3" s="28" t="e" cm="1" vm="1">
        <f t="array" ref="CYE3">_xlfn._xlws.FILTER(Rutas,_xlfn._xlws.FILTER($B$2:$B$10000,$B$2:$B$10000&lt;&gt;"")=VALUE(INDEX(IdClientes,MATCH(CYE2,Clientes,0))))</f>
        <v>#VALUE!</v>
      </c>
      <c r="CYF3" s="28" t="e" cm="1" vm="1">
        <f t="array" ref="CYF3">_xlfn._xlws.FILTER(Rutas,_xlfn._xlws.FILTER($B$2:$B$10000,$B$2:$B$10000&lt;&gt;"")=VALUE(INDEX(IdClientes,MATCH(CYF2,Clientes,0))))</f>
        <v>#VALUE!</v>
      </c>
      <c r="CYG3" s="28" t="e" cm="1" vm="1">
        <f t="array" ref="CYG3">_xlfn._xlws.FILTER(Rutas,_xlfn._xlws.FILTER($B$2:$B$10000,$B$2:$B$10000&lt;&gt;"")=VALUE(INDEX(IdClientes,MATCH(CYG2,Clientes,0))))</f>
        <v>#VALUE!</v>
      </c>
      <c r="CYH3" s="28" t="e" cm="1" vm="1">
        <f t="array" ref="CYH3">_xlfn._xlws.FILTER(Rutas,_xlfn._xlws.FILTER($B$2:$B$10000,$B$2:$B$10000&lt;&gt;"")=VALUE(INDEX(IdClientes,MATCH(CYH2,Clientes,0))))</f>
        <v>#VALUE!</v>
      </c>
      <c r="CYI3" s="28" t="e" cm="1" vm="1">
        <f t="array" ref="CYI3">_xlfn._xlws.FILTER(Rutas,_xlfn._xlws.FILTER($B$2:$B$10000,$B$2:$B$10000&lt;&gt;"")=VALUE(INDEX(IdClientes,MATCH(CYI2,Clientes,0))))</f>
        <v>#VALUE!</v>
      </c>
      <c r="CYJ3" s="28" t="e" cm="1" vm="1">
        <f t="array" ref="CYJ3">_xlfn._xlws.FILTER(Rutas,_xlfn._xlws.FILTER($B$2:$B$10000,$B$2:$B$10000&lt;&gt;"")=VALUE(INDEX(IdClientes,MATCH(CYJ2,Clientes,0))))</f>
        <v>#VALUE!</v>
      </c>
      <c r="CYK3" s="28" t="e" cm="1" vm="1">
        <f t="array" ref="CYK3">_xlfn._xlws.FILTER(Rutas,_xlfn._xlws.FILTER($B$2:$B$10000,$B$2:$B$10000&lt;&gt;"")=VALUE(INDEX(IdClientes,MATCH(CYK2,Clientes,0))))</f>
        <v>#VALUE!</v>
      </c>
      <c r="CYL3" s="28" t="e" cm="1" vm="1">
        <f t="array" ref="CYL3">_xlfn._xlws.FILTER(Rutas,_xlfn._xlws.FILTER($B$2:$B$10000,$B$2:$B$10000&lt;&gt;"")=VALUE(INDEX(IdClientes,MATCH(CYL2,Clientes,0))))</f>
        <v>#VALUE!</v>
      </c>
      <c r="CYM3" s="28" t="e" cm="1" vm="1">
        <f t="array" ref="CYM3">_xlfn._xlws.FILTER(Rutas,_xlfn._xlws.FILTER($B$2:$B$10000,$B$2:$B$10000&lt;&gt;"")=VALUE(INDEX(IdClientes,MATCH(CYM2,Clientes,0))))</f>
        <v>#VALUE!</v>
      </c>
      <c r="CYN3" s="28" t="e" cm="1" vm="1">
        <f t="array" ref="CYN3">_xlfn._xlws.FILTER(Rutas,_xlfn._xlws.FILTER($B$2:$B$10000,$B$2:$B$10000&lt;&gt;"")=VALUE(INDEX(IdClientes,MATCH(CYN2,Clientes,0))))</f>
        <v>#VALUE!</v>
      </c>
      <c r="CYO3" s="28" t="e" cm="1" vm="1">
        <f t="array" ref="CYO3">_xlfn._xlws.FILTER(Rutas,_xlfn._xlws.FILTER($B$2:$B$10000,$B$2:$B$10000&lt;&gt;"")=VALUE(INDEX(IdClientes,MATCH(CYO2,Clientes,0))))</f>
        <v>#VALUE!</v>
      </c>
      <c r="CYP3" s="28" t="e" cm="1" vm="1">
        <f t="array" ref="CYP3">_xlfn._xlws.FILTER(Rutas,_xlfn._xlws.FILTER($B$2:$B$10000,$B$2:$B$10000&lt;&gt;"")=VALUE(INDEX(IdClientes,MATCH(CYP2,Clientes,0))))</f>
        <v>#VALUE!</v>
      </c>
      <c r="CYQ3" s="28" t="e" cm="1" vm="1">
        <f t="array" ref="CYQ3">_xlfn._xlws.FILTER(Rutas,_xlfn._xlws.FILTER($B$2:$B$10000,$B$2:$B$10000&lt;&gt;"")=VALUE(INDEX(IdClientes,MATCH(CYQ2,Clientes,0))))</f>
        <v>#VALUE!</v>
      </c>
      <c r="CYR3" s="28" t="e" cm="1" vm="1">
        <f t="array" ref="CYR3">_xlfn._xlws.FILTER(Rutas,_xlfn._xlws.FILTER($B$2:$B$10000,$B$2:$B$10000&lt;&gt;"")=VALUE(INDEX(IdClientes,MATCH(CYR2,Clientes,0))))</f>
        <v>#VALUE!</v>
      </c>
      <c r="CYS3" s="28" t="e" cm="1" vm="1">
        <f t="array" ref="CYS3">_xlfn._xlws.FILTER(Rutas,_xlfn._xlws.FILTER($B$2:$B$10000,$B$2:$B$10000&lt;&gt;"")=VALUE(INDEX(IdClientes,MATCH(CYS2,Clientes,0))))</f>
        <v>#VALUE!</v>
      </c>
      <c r="CYT3" s="28" t="e" cm="1" vm="1">
        <f t="array" ref="CYT3">_xlfn._xlws.FILTER(Rutas,_xlfn._xlws.FILTER($B$2:$B$10000,$B$2:$B$10000&lt;&gt;"")=VALUE(INDEX(IdClientes,MATCH(CYT2,Clientes,0))))</f>
        <v>#VALUE!</v>
      </c>
      <c r="CYU3" s="28" t="e" cm="1" vm="1">
        <f t="array" ref="CYU3">_xlfn._xlws.FILTER(Rutas,_xlfn._xlws.FILTER($B$2:$B$10000,$B$2:$B$10000&lt;&gt;"")=VALUE(INDEX(IdClientes,MATCH(CYU2,Clientes,0))))</f>
        <v>#VALUE!</v>
      </c>
      <c r="CYV3" s="28" t="e" cm="1" vm="1">
        <f t="array" ref="CYV3">_xlfn._xlws.FILTER(Rutas,_xlfn._xlws.FILTER($B$2:$B$10000,$B$2:$B$10000&lt;&gt;"")=VALUE(INDEX(IdClientes,MATCH(CYV2,Clientes,0))))</f>
        <v>#VALUE!</v>
      </c>
      <c r="CYW3" s="28" t="e" cm="1" vm="1">
        <f t="array" ref="CYW3">_xlfn._xlws.FILTER(Rutas,_xlfn._xlws.FILTER($B$2:$B$10000,$B$2:$B$10000&lt;&gt;"")=VALUE(INDEX(IdClientes,MATCH(CYW2,Clientes,0))))</f>
        <v>#VALUE!</v>
      </c>
      <c r="CYX3" s="28" t="e" cm="1" vm="1">
        <f t="array" ref="CYX3">_xlfn._xlws.FILTER(Rutas,_xlfn._xlws.FILTER($B$2:$B$10000,$B$2:$B$10000&lt;&gt;"")=VALUE(INDEX(IdClientes,MATCH(CYX2,Clientes,0))))</f>
        <v>#VALUE!</v>
      </c>
      <c r="CYY3" s="28" t="e" cm="1" vm="1">
        <f t="array" ref="CYY3">_xlfn._xlws.FILTER(Rutas,_xlfn._xlws.FILTER($B$2:$B$10000,$B$2:$B$10000&lt;&gt;"")=VALUE(INDEX(IdClientes,MATCH(CYY2,Clientes,0))))</f>
        <v>#VALUE!</v>
      </c>
      <c r="CYZ3" s="28" t="e" cm="1" vm="1">
        <f t="array" ref="CYZ3">_xlfn._xlws.FILTER(Rutas,_xlfn._xlws.FILTER($B$2:$B$10000,$B$2:$B$10000&lt;&gt;"")=VALUE(INDEX(IdClientes,MATCH(CYZ2,Clientes,0))))</f>
        <v>#VALUE!</v>
      </c>
      <c r="CZA3" s="28" t="e" cm="1" vm="1">
        <f t="array" ref="CZA3">_xlfn._xlws.FILTER(Rutas,_xlfn._xlws.FILTER($B$2:$B$10000,$B$2:$B$10000&lt;&gt;"")=VALUE(INDEX(IdClientes,MATCH(CZA2,Clientes,0))))</f>
        <v>#VALUE!</v>
      </c>
      <c r="CZB3" s="28" t="e" cm="1" vm="1">
        <f t="array" ref="CZB3">_xlfn._xlws.FILTER(Rutas,_xlfn._xlws.FILTER($B$2:$B$10000,$B$2:$B$10000&lt;&gt;"")=VALUE(INDEX(IdClientes,MATCH(CZB2,Clientes,0))))</f>
        <v>#VALUE!</v>
      </c>
      <c r="CZC3" s="28" t="e" cm="1" vm="1">
        <f t="array" ref="CZC3">_xlfn._xlws.FILTER(Rutas,_xlfn._xlws.FILTER($B$2:$B$10000,$B$2:$B$10000&lt;&gt;"")=VALUE(INDEX(IdClientes,MATCH(CZC2,Clientes,0))))</f>
        <v>#VALUE!</v>
      </c>
      <c r="CZD3" s="28" t="e" cm="1" vm="1">
        <f t="array" ref="CZD3">_xlfn._xlws.FILTER(Rutas,_xlfn._xlws.FILTER($B$2:$B$10000,$B$2:$B$10000&lt;&gt;"")=VALUE(INDEX(IdClientes,MATCH(CZD2,Clientes,0))))</f>
        <v>#VALUE!</v>
      </c>
      <c r="CZE3" s="28" t="e" cm="1" vm="1">
        <f t="array" ref="CZE3">_xlfn._xlws.FILTER(Rutas,_xlfn._xlws.FILTER($B$2:$B$10000,$B$2:$B$10000&lt;&gt;"")=VALUE(INDEX(IdClientes,MATCH(CZE2,Clientes,0))))</f>
        <v>#VALUE!</v>
      </c>
      <c r="CZF3" s="28" t="e" cm="1" vm="1">
        <f t="array" ref="CZF3">_xlfn._xlws.FILTER(Rutas,_xlfn._xlws.FILTER($B$2:$B$10000,$B$2:$B$10000&lt;&gt;"")=VALUE(INDEX(IdClientes,MATCH(CZF2,Clientes,0))))</f>
        <v>#VALUE!</v>
      </c>
      <c r="CZG3" s="28" t="e" cm="1" vm="1">
        <f t="array" ref="CZG3">_xlfn._xlws.FILTER(Rutas,_xlfn._xlws.FILTER($B$2:$B$10000,$B$2:$B$10000&lt;&gt;"")=VALUE(INDEX(IdClientes,MATCH(CZG2,Clientes,0))))</f>
        <v>#VALUE!</v>
      </c>
      <c r="CZH3" s="28" t="e" cm="1" vm="1">
        <f t="array" ref="CZH3">_xlfn._xlws.FILTER(Rutas,_xlfn._xlws.FILTER($B$2:$B$10000,$B$2:$B$10000&lt;&gt;"")=VALUE(INDEX(IdClientes,MATCH(CZH2,Clientes,0))))</f>
        <v>#VALUE!</v>
      </c>
      <c r="CZI3" s="28" t="e" cm="1" vm="1">
        <f t="array" ref="CZI3">_xlfn._xlws.FILTER(Rutas,_xlfn._xlws.FILTER($B$2:$B$10000,$B$2:$B$10000&lt;&gt;"")=VALUE(INDEX(IdClientes,MATCH(CZI2,Clientes,0))))</f>
        <v>#VALUE!</v>
      </c>
      <c r="CZJ3" s="28" t="e" cm="1" vm="1">
        <f t="array" ref="CZJ3">_xlfn._xlws.FILTER(Rutas,_xlfn._xlws.FILTER($B$2:$B$10000,$B$2:$B$10000&lt;&gt;"")=VALUE(INDEX(IdClientes,MATCH(CZJ2,Clientes,0))))</f>
        <v>#VALUE!</v>
      </c>
      <c r="CZK3" s="28" t="e" cm="1" vm="1">
        <f t="array" ref="CZK3">_xlfn._xlws.FILTER(Rutas,_xlfn._xlws.FILTER($B$2:$B$10000,$B$2:$B$10000&lt;&gt;"")=VALUE(INDEX(IdClientes,MATCH(CZK2,Clientes,0))))</f>
        <v>#VALUE!</v>
      </c>
      <c r="CZL3" s="28" t="e" cm="1" vm="1">
        <f t="array" ref="CZL3">_xlfn._xlws.FILTER(Rutas,_xlfn._xlws.FILTER($B$2:$B$10000,$B$2:$B$10000&lt;&gt;"")=VALUE(INDEX(IdClientes,MATCH(CZL2,Clientes,0))))</f>
        <v>#VALUE!</v>
      </c>
      <c r="CZM3" s="28" t="e" cm="1" vm="1">
        <f t="array" ref="CZM3">_xlfn._xlws.FILTER(Rutas,_xlfn._xlws.FILTER($B$2:$B$10000,$B$2:$B$10000&lt;&gt;"")=VALUE(INDEX(IdClientes,MATCH(CZM2,Clientes,0))))</f>
        <v>#VALUE!</v>
      </c>
      <c r="CZN3" s="28" t="e" cm="1" vm="1">
        <f t="array" ref="CZN3">_xlfn._xlws.FILTER(Rutas,_xlfn._xlws.FILTER($B$2:$B$10000,$B$2:$B$10000&lt;&gt;"")=VALUE(INDEX(IdClientes,MATCH(CZN2,Clientes,0))))</f>
        <v>#VALUE!</v>
      </c>
      <c r="CZO3" s="28" t="e" cm="1" vm="1">
        <f t="array" ref="CZO3">_xlfn._xlws.FILTER(Rutas,_xlfn._xlws.FILTER($B$2:$B$10000,$B$2:$B$10000&lt;&gt;"")=VALUE(INDEX(IdClientes,MATCH(CZO2,Clientes,0))))</f>
        <v>#VALUE!</v>
      </c>
      <c r="CZP3" s="28" t="e" cm="1" vm="1">
        <f t="array" ref="CZP3">_xlfn._xlws.FILTER(Rutas,_xlfn._xlws.FILTER($B$2:$B$10000,$B$2:$B$10000&lt;&gt;"")=VALUE(INDEX(IdClientes,MATCH(CZP2,Clientes,0))))</f>
        <v>#VALUE!</v>
      </c>
      <c r="CZQ3" s="28" t="e" cm="1" vm="1">
        <f t="array" ref="CZQ3">_xlfn._xlws.FILTER(Rutas,_xlfn._xlws.FILTER($B$2:$B$10000,$B$2:$B$10000&lt;&gt;"")=VALUE(INDEX(IdClientes,MATCH(CZQ2,Clientes,0))))</f>
        <v>#VALUE!</v>
      </c>
      <c r="CZR3" s="28" t="e" cm="1" vm="1">
        <f t="array" ref="CZR3">_xlfn._xlws.FILTER(Rutas,_xlfn._xlws.FILTER($B$2:$B$10000,$B$2:$B$10000&lt;&gt;"")=VALUE(INDEX(IdClientes,MATCH(CZR2,Clientes,0))))</f>
        <v>#VALUE!</v>
      </c>
      <c r="CZS3" s="28" t="e" cm="1" vm="1">
        <f t="array" ref="CZS3">_xlfn._xlws.FILTER(Rutas,_xlfn._xlws.FILTER($B$2:$B$10000,$B$2:$B$10000&lt;&gt;"")=VALUE(INDEX(IdClientes,MATCH(CZS2,Clientes,0))))</f>
        <v>#VALUE!</v>
      </c>
      <c r="CZT3" s="28" t="e" cm="1" vm="1">
        <f t="array" ref="CZT3">_xlfn._xlws.FILTER(Rutas,_xlfn._xlws.FILTER($B$2:$B$10000,$B$2:$B$10000&lt;&gt;"")=VALUE(INDEX(IdClientes,MATCH(CZT2,Clientes,0))))</f>
        <v>#VALUE!</v>
      </c>
      <c r="CZU3" s="28" t="e" cm="1" vm="1">
        <f t="array" ref="CZU3">_xlfn._xlws.FILTER(Rutas,_xlfn._xlws.FILTER($B$2:$B$10000,$B$2:$B$10000&lt;&gt;"")=VALUE(INDEX(IdClientes,MATCH(CZU2,Clientes,0))))</f>
        <v>#VALUE!</v>
      </c>
      <c r="CZV3" s="28" t="e" cm="1" vm="1">
        <f t="array" ref="CZV3">_xlfn._xlws.FILTER(Rutas,_xlfn._xlws.FILTER($B$2:$B$10000,$B$2:$B$10000&lt;&gt;"")=VALUE(INDEX(IdClientes,MATCH(CZV2,Clientes,0))))</f>
        <v>#VALUE!</v>
      </c>
      <c r="CZW3" s="28" t="e" cm="1" vm="1">
        <f t="array" ref="CZW3">_xlfn._xlws.FILTER(Rutas,_xlfn._xlws.FILTER($B$2:$B$10000,$B$2:$B$10000&lt;&gt;"")=VALUE(INDEX(IdClientes,MATCH(CZW2,Clientes,0))))</f>
        <v>#VALUE!</v>
      </c>
      <c r="CZX3" s="28" t="e" cm="1" vm="1">
        <f t="array" ref="CZX3">_xlfn._xlws.FILTER(Rutas,_xlfn._xlws.FILTER($B$2:$B$10000,$B$2:$B$10000&lt;&gt;"")=VALUE(INDEX(IdClientes,MATCH(CZX2,Clientes,0))))</f>
        <v>#VALUE!</v>
      </c>
      <c r="CZY3" s="28" t="e" cm="1" vm="1">
        <f t="array" ref="CZY3">_xlfn._xlws.FILTER(Rutas,_xlfn._xlws.FILTER($B$2:$B$10000,$B$2:$B$10000&lt;&gt;"")=VALUE(INDEX(IdClientes,MATCH(CZY2,Clientes,0))))</f>
        <v>#VALUE!</v>
      </c>
      <c r="CZZ3" s="28" t="e" cm="1" vm="1">
        <f t="array" ref="CZZ3">_xlfn._xlws.FILTER(Rutas,_xlfn._xlws.FILTER($B$2:$B$10000,$B$2:$B$10000&lt;&gt;"")=VALUE(INDEX(IdClientes,MATCH(CZZ2,Clientes,0))))</f>
        <v>#VALUE!</v>
      </c>
      <c r="DAA3" s="28" t="e" cm="1" vm="1">
        <f t="array" ref="DAA3">_xlfn._xlws.FILTER(Rutas,_xlfn._xlws.FILTER($B$2:$B$10000,$B$2:$B$10000&lt;&gt;"")=VALUE(INDEX(IdClientes,MATCH(DAA2,Clientes,0))))</f>
        <v>#VALUE!</v>
      </c>
      <c r="DAB3" s="28" t="e" cm="1" vm="1">
        <f t="array" ref="DAB3">_xlfn._xlws.FILTER(Rutas,_xlfn._xlws.FILTER($B$2:$B$10000,$B$2:$B$10000&lt;&gt;"")=VALUE(INDEX(IdClientes,MATCH(DAB2,Clientes,0))))</f>
        <v>#VALUE!</v>
      </c>
      <c r="DAC3" s="28" t="e" cm="1" vm="1">
        <f t="array" ref="DAC3">_xlfn._xlws.FILTER(Rutas,_xlfn._xlws.FILTER($B$2:$B$10000,$B$2:$B$10000&lt;&gt;"")=VALUE(INDEX(IdClientes,MATCH(DAC2,Clientes,0))))</f>
        <v>#VALUE!</v>
      </c>
      <c r="DAD3" s="28" t="e" cm="1" vm="1">
        <f t="array" ref="DAD3">_xlfn._xlws.FILTER(Rutas,_xlfn._xlws.FILTER($B$2:$B$10000,$B$2:$B$10000&lt;&gt;"")=VALUE(INDEX(IdClientes,MATCH(DAD2,Clientes,0))))</f>
        <v>#VALUE!</v>
      </c>
      <c r="DAE3" s="28" t="e" cm="1" vm="1">
        <f t="array" ref="DAE3">_xlfn._xlws.FILTER(Rutas,_xlfn._xlws.FILTER($B$2:$B$10000,$B$2:$B$10000&lt;&gt;"")=VALUE(INDEX(IdClientes,MATCH(DAE2,Clientes,0))))</f>
        <v>#VALUE!</v>
      </c>
      <c r="DAF3" s="28" t="e" cm="1" vm="1">
        <f t="array" ref="DAF3">_xlfn._xlws.FILTER(Rutas,_xlfn._xlws.FILTER($B$2:$B$10000,$B$2:$B$10000&lt;&gt;"")=VALUE(INDEX(IdClientes,MATCH(DAF2,Clientes,0))))</f>
        <v>#VALUE!</v>
      </c>
      <c r="DAG3" s="28" t="e" cm="1" vm="1">
        <f t="array" ref="DAG3">_xlfn._xlws.FILTER(Rutas,_xlfn._xlws.FILTER($B$2:$B$10000,$B$2:$B$10000&lt;&gt;"")=VALUE(INDEX(IdClientes,MATCH(DAG2,Clientes,0))))</f>
        <v>#VALUE!</v>
      </c>
      <c r="DAH3" s="28" t="e" cm="1" vm="1">
        <f t="array" ref="DAH3">_xlfn._xlws.FILTER(Rutas,_xlfn._xlws.FILTER($B$2:$B$10000,$B$2:$B$10000&lt;&gt;"")=VALUE(INDEX(IdClientes,MATCH(DAH2,Clientes,0))))</f>
        <v>#VALUE!</v>
      </c>
      <c r="DAI3" s="28" t="e" cm="1" vm="1">
        <f t="array" ref="DAI3">_xlfn._xlws.FILTER(Rutas,_xlfn._xlws.FILTER($B$2:$B$10000,$B$2:$B$10000&lt;&gt;"")=VALUE(INDEX(IdClientes,MATCH(DAI2,Clientes,0))))</f>
        <v>#VALUE!</v>
      </c>
      <c r="DAJ3" s="28" t="e" cm="1" vm="1">
        <f t="array" ref="DAJ3">_xlfn._xlws.FILTER(Rutas,_xlfn._xlws.FILTER($B$2:$B$10000,$B$2:$B$10000&lt;&gt;"")=VALUE(INDEX(IdClientes,MATCH(DAJ2,Clientes,0))))</f>
        <v>#VALUE!</v>
      </c>
      <c r="DAK3" s="28" t="e" cm="1" vm="1">
        <f t="array" ref="DAK3">_xlfn._xlws.FILTER(Rutas,_xlfn._xlws.FILTER($B$2:$B$10000,$B$2:$B$10000&lt;&gt;"")=VALUE(INDEX(IdClientes,MATCH(DAK2,Clientes,0))))</f>
        <v>#VALUE!</v>
      </c>
      <c r="DAL3" s="28" t="e" cm="1" vm="1">
        <f t="array" ref="DAL3">_xlfn._xlws.FILTER(Rutas,_xlfn._xlws.FILTER($B$2:$B$10000,$B$2:$B$10000&lt;&gt;"")=VALUE(INDEX(IdClientes,MATCH(DAL2,Clientes,0))))</f>
        <v>#VALUE!</v>
      </c>
      <c r="DAM3" s="28" t="e" cm="1" vm="1">
        <f t="array" ref="DAM3">_xlfn._xlws.FILTER(Rutas,_xlfn._xlws.FILTER($B$2:$B$10000,$B$2:$B$10000&lt;&gt;"")=VALUE(INDEX(IdClientes,MATCH(DAM2,Clientes,0))))</f>
        <v>#VALUE!</v>
      </c>
      <c r="DAN3" s="28" t="e" cm="1" vm="1">
        <f t="array" ref="DAN3">_xlfn._xlws.FILTER(Rutas,_xlfn._xlws.FILTER($B$2:$B$10000,$B$2:$B$10000&lt;&gt;"")=VALUE(INDEX(IdClientes,MATCH(DAN2,Clientes,0))))</f>
        <v>#VALUE!</v>
      </c>
      <c r="DAO3" s="28" t="e" cm="1" vm="1">
        <f t="array" ref="DAO3">_xlfn._xlws.FILTER(Rutas,_xlfn._xlws.FILTER($B$2:$B$10000,$B$2:$B$10000&lt;&gt;"")=VALUE(INDEX(IdClientes,MATCH(DAO2,Clientes,0))))</f>
        <v>#VALUE!</v>
      </c>
      <c r="DAP3" s="28" t="e" cm="1" vm="1">
        <f t="array" ref="DAP3">_xlfn._xlws.FILTER(Rutas,_xlfn._xlws.FILTER($B$2:$B$10000,$B$2:$B$10000&lt;&gt;"")=VALUE(INDEX(IdClientes,MATCH(DAP2,Clientes,0))))</f>
        <v>#VALUE!</v>
      </c>
      <c r="DAQ3" s="28" t="e" cm="1" vm="1">
        <f t="array" ref="DAQ3">_xlfn._xlws.FILTER(Rutas,_xlfn._xlws.FILTER($B$2:$B$10000,$B$2:$B$10000&lt;&gt;"")=VALUE(INDEX(IdClientes,MATCH(DAQ2,Clientes,0))))</f>
        <v>#VALUE!</v>
      </c>
      <c r="DAR3" s="28" t="e" cm="1" vm="1">
        <f t="array" ref="DAR3">_xlfn._xlws.FILTER(Rutas,_xlfn._xlws.FILTER($B$2:$B$10000,$B$2:$B$10000&lt;&gt;"")=VALUE(INDEX(IdClientes,MATCH(DAR2,Clientes,0))))</f>
        <v>#VALUE!</v>
      </c>
      <c r="DAS3" s="28" t="e" cm="1" vm="1">
        <f t="array" ref="DAS3">_xlfn._xlws.FILTER(Rutas,_xlfn._xlws.FILTER($B$2:$B$10000,$B$2:$B$10000&lt;&gt;"")=VALUE(INDEX(IdClientes,MATCH(DAS2,Clientes,0))))</f>
        <v>#VALUE!</v>
      </c>
      <c r="DAT3" s="28" t="e" cm="1" vm="1">
        <f t="array" ref="DAT3">_xlfn._xlws.FILTER(Rutas,_xlfn._xlws.FILTER($B$2:$B$10000,$B$2:$B$10000&lt;&gt;"")=VALUE(INDEX(IdClientes,MATCH(DAT2,Clientes,0))))</f>
        <v>#VALUE!</v>
      </c>
      <c r="DAU3" s="28" t="e" cm="1" vm="1">
        <f t="array" ref="DAU3">_xlfn._xlws.FILTER(Rutas,_xlfn._xlws.FILTER($B$2:$B$10000,$B$2:$B$10000&lt;&gt;"")=VALUE(INDEX(IdClientes,MATCH(DAU2,Clientes,0))))</f>
        <v>#VALUE!</v>
      </c>
      <c r="DAV3" s="28" t="e" cm="1" vm="1">
        <f t="array" ref="DAV3">_xlfn._xlws.FILTER(Rutas,_xlfn._xlws.FILTER($B$2:$B$10000,$B$2:$B$10000&lt;&gt;"")=VALUE(INDEX(IdClientes,MATCH(DAV2,Clientes,0))))</f>
        <v>#VALUE!</v>
      </c>
      <c r="DAW3" s="28" t="e" cm="1" vm="1">
        <f t="array" ref="DAW3">_xlfn._xlws.FILTER(Rutas,_xlfn._xlws.FILTER($B$2:$B$10000,$B$2:$B$10000&lt;&gt;"")=VALUE(INDEX(IdClientes,MATCH(DAW2,Clientes,0))))</f>
        <v>#VALUE!</v>
      </c>
      <c r="DAX3" s="28" t="e" cm="1" vm="1">
        <f t="array" ref="DAX3">_xlfn._xlws.FILTER(Rutas,_xlfn._xlws.FILTER($B$2:$B$10000,$B$2:$B$10000&lt;&gt;"")=VALUE(INDEX(IdClientes,MATCH(DAX2,Clientes,0))))</f>
        <v>#VALUE!</v>
      </c>
      <c r="DAY3" s="28" t="e" cm="1" vm="1">
        <f t="array" ref="DAY3">_xlfn._xlws.FILTER(Rutas,_xlfn._xlws.FILTER($B$2:$B$10000,$B$2:$B$10000&lt;&gt;"")=VALUE(INDEX(IdClientes,MATCH(DAY2,Clientes,0))))</f>
        <v>#VALUE!</v>
      </c>
      <c r="DAZ3" s="28" t="e" cm="1" vm="1">
        <f t="array" ref="DAZ3">_xlfn._xlws.FILTER(Rutas,_xlfn._xlws.FILTER($B$2:$B$10000,$B$2:$B$10000&lt;&gt;"")=VALUE(INDEX(IdClientes,MATCH(DAZ2,Clientes,0))))</f>
        <v>#VALUE!</v>
      </c>
      <c r="DBA3" s="28" t="e" cm="1" vm="1">
        <f t="array" ref="DBA3">_xlfn._xlws.FILTER(Rutas,_xlfn._xlws.FILTER($B$2:$B$10000,$B$2:$B$10000&lt;&gt;"")=VALUE(INDEX(IdClientes,MATCH(DBA2,Clientes,0))))</f>
        <v>#VALUE!</v>
      </c>
      <c r="DBB3" s="28" t="e" cm="1" vm="1">
        <f t="array" ref="DBB3">_xlfn._xlws.FILTER(Rutas,_xlfn._xlws.FILTER($B$2:$B$10000,$B$2:$B$10000&lt;&gt;"")=VALUE(INDEX(IdClientes,MATCH(DBB2,Clientes,0))))</f>
        <v>#VALUE!</v>
      </c>
      <c r="DBC3" s="28" t="e" cm="1" vm="1">
        <f t="array" ref="DBC3">_xlfn._xlws.FILTER(Rutas,_xlfn._xlws.FILTER($B$2:$B$10000,$B$2:$B$10000&lt;&gt;"")=VALUE(INDEX(IdClientes,MATCH(DBC2,Clientes,0))))</f>
        <v>#VALUE!</v>
      </c>
      <c r="DBD3" s="28" t="e" cm="1" vm="1">
        <f t="array" ref="DBD3">_xlfn._xlws.FILTER(Rutas,_xlfn._xlws.FILTER($B$2:$B$10000,$B$2:$B$10000&lt;&gt;"")=VALUE(INDEX(IdClientes,MATCH(DBD2,Clientes,0))))</f>
        <v>#VALUE!</v>
      </c>
      <c r="DBE3" s="28" t="e" cm="1" vm="1">
        <f t="array" ref="DBE3">_xlfn._xlws.FILTER(Rutas,_xlfn._xlws.FILTER($B$2:$B$10000,$B$2:$B$10000&lt;&gt;"")=VALUE(INDEX(IdClientes,MATCH(DBE2,Clientes,0))))</f>
        <v>#VALUE!</v>
      </c>
      <c r="DBF3" s="28" t="e" cm="1" vm="1">
        <f t="array" ref="DBF3">_xlfn._xlws.FILTER(Rutas,_xlfn._xlws.FILTER($B$2:$B$10000,$B$2:$B$10000&lt;&gt;"")=VALUE(INDEX(IdClientes,MATCH(DBF2,Clientes,0))))</f>
        <v>#VALUE!</v>
      </c>
      <c r="DBG3" s="28" t="e" cm="1" vm="1">
        <f t="array" ref="DBG3">_xlfn._xlws.FILTER(Rutas,_xlfn._xlws.FILTER($B$2:$B$10000,$B$2:$B$10000&lt;&gt;"")=VALUE(INDEX(IdClientes,MATCH(DBG2,Clientes,0))))</f>
        <v>#VALUE!</v>
      </c>
      <c r="DBH3" s="28" t="e" cm="1" vm="1">
        <f t="array" ref="DBH3">_xlfn._xlws.FILTER(Rutas,_xlfn._xlws.FILTER($B$2:$B$10000,$B$2:$B$10000&lt;&gt;"")=VALUE(INDEX(IdClientes,MATCH(DBH2,Clientes,0))))</f>
        <v>#VALUE!</v>
      </c>
      <c r="DBI3" s="28" t="e" cm="1" vm="1">
        <f t="array" ref="DBI3">_xlfn._xlws.FILTER(Rutas,_xlfn._xlws.FILTER($B$2:$B$10000,$B$2:$B$10000&lt;&gt;"")=VALUE(INDEX(IdClientes,MATCH(DBI2,Clientes,0))))</f>
        <v>#VALUE!</v>
      </c>
      <c r="DBJ3" s="28" t="e" cm="1" vm="1">
        <f t="array" ref="DBJ3">_xlfn._xlws.FILTER(Rutas,_xlfn._xlws.FILTER($B$2:$B$10000,$B$2:$B$10000&lt;&gt;"")=VALUE(INDEX(IdClientes,MATCH(DBJ2,Clientes,0))))</f>
        <v>#VALUE!</v>
      </c>
      <c r="DBK3" s="28" t="e" cm="1" vm="1">
        <f t="array" ref="DBK3">_xlfn._xlws.FILTER(Rutas,_xlfn._xlws.FILTER($B$2:$B$10000,$B$2:$B$10000&lt;&gt;"")=VALUE(INDEX(IdClientes,MATCH(DBK2,Clientes,0))))</f>
        <v>#VALUE!</v>
      </c>
      <c r="DBL3" s="28" t="e" cm="1" vm="1">
        <f t="array" ref="DBL3">_xlfn._xlws.FILTER(Rutas,_xlfn._xlws.FILTER($B$2:$B$10000,$B$2:$B$10000&lt;&gt;"")=VALUE(INDEX(IdClientes,MATCH(DBL2,Clientes,0))))</f>
        <v>#VALUE!</v>
      </c>
      <c r="DBM3" s="28" t="e" cm="1" vm="1">
        <f t="array" ref="DBM3">_xlfn._xlws.FILTER(Rutas,_xlfn._xlws.FILTER($B$2:$B$10000,$B$2:$B$10000&lt;&gt;"")=VALUE(INDEX(IdClientes,MATCH(DBM2,Clientes,0))))</f>
        <v>#VALUE!</v>
      </c>
      <c r="DBN3" s="28" t="e" cm="1" vm="1">
        <f t="array" ref="DBN3">_xlfn._xlws.FILTER(Rutas,_xlfn._xlws.FILTER($B$2:$B$10000,$B$2:$B$10000&lt;&gt;"")=VALUE(INDEX(IdClientes,MATCH(DBN2,Clientes,0))))</f>
        <v>#VALUE!</v>
      </c>
      <c r="DBO3" s="28" t="e" cm="1" vm="1">
        <f t="array" ref="DBO3">_xlfn._xlws.FILTER(Rutas,_xlfn._xlws.FILTER($B$2:$B$10000,$B$2:$B$10000&lt;&gt;"")=VALUE(INDEX(IdClientes,MATCH(DBO2,Clientes,0))))</f>
        <v>#VALUE!</v>
      </c>
      <c r="DBP3" s="28" t="e" cm="1" vm="1">
        <f t="array" ref="DBP3">_xlfn._xlws.FILTER(Rutas,_xlfn._xlws.FILTER($B$2:$B$10000,$B$2:$B$10000&lt;&gt;"")=VALUE(INDEX(IdClientes,MATCH(DBP2,Clientes,0))))</f>
        <v>#VALUE!</v>
      </c>
      <c r="DBQ3" s="28" t="e" cm="1" vm="1">
        <f t="array" ref="DBQ3">_xlfn._xlws.FILTER(Rutas,_xlfn._xlws.FILTER($B$2:$B$10000,$B$2:$B$10000&lt;&gt;"")=VALUE(INDEX(IdClientes,MATCH(DBQ2,Clientes,0))))</f>
        <v>#VALUE!</v>
      </c>
      <c r="DBR3" s="28" t="e" cm="1" vm="1">
        <f t="array" ref="DBR3">_xlfn._xlws.FILTER(Rutas,_xlfn._xlws.FILTER($B$2:$B$10000,$B$2:$B$10000&lt;&gt;"")=VALUE(INDEX(IdClientes,MATCH(DBR2,Clientes,0))))</f>
        <v>#VALUE!</v>
      </c>
      <c r="DBS3" s="28" t="e" cm="1" vm="1">
        <f t="array" ref="DBS3">_xlfn._xlws.FILTER(Rutas,_xlfn._xlws.FILTER($B$2:$B$10000,$B$2:$B$10000&lt;&gt;"")=VALUE(INDEX(IdClientes,MATCH(DBS2,Clientes,0))))</f>
        <v>#VALUE!</v>
      </c>
      <c r="DBT3" s="28" t="e" cm="1" vm="1">
        <f t="array" ref="DBT3">_xlfn._xlws.FILTER(Rutas,_xlfn._xlws.FILTER($B$2:$B$10000,$B$2:$B$10000&lt;&gt;"")=VALUE(INDEX(IdClientes,MATCH(DBT2,Clientes,0))))</f>
        <v>#VALUE!</v>
      </c>
      <c r="DBU3" s="28" t="e" cm="1" vm="1">
        <f t="array" ref="DBU3">_xlfn._xlws.FILTER(Rutas,_xlfn._xlws.FILTER($B$2:$B$10000,$B$2:$B$10000&lt;&gt;"")=VALUE(INDEX(IdClientes,MATCH(DBU2,Clientes,0))))</f>
        <v>#VALUE!</v>
      </c>
      <c r="DBV3" s="28" t="e" cm="1" vm="1">
        <f t="array" ref="DBV3">_xlfn._xlws.FILTER(Rutas,_xlfn._xlws.FILTER($B$2:$B$10000,$B$2:$B$10000&lt;&gt;"")=VALUE(INDEX(IdClientes,MATCH(DBV2,Clientes,0))))</f>
        <v>#VALUE!</v>
      </c>
      <c r="DBW3" s="28" t="e" cm="1" vm="1">
        <f t="array" ref="DBW3">_xlfn._xlws.FILTER(Rutas,_xlfn._xlws.FILTER($B$2:$B$10000,$B$2:$B$10000&lt;&gt;"")=VALUE(INDEX(IdClientes,MATCH(DBW2,Clientes,0))))</f>
        <v>#VALUE!</v>
      </c>
      <c r="DBX3" s="28" t="e" cm="1" vm="1">
        <f t="array" ref="DBX3">_xlfn._xlws.FILTER(Rutas,_xlfn._xlws.FILTER($B$2:$B$10000,$B$2:$B$10000&lt;&gt;"")=VALUE(INDEX(IdClientes,MATCH(DBX2,Clientes,0))))</f>
        <v>#VALUE!</v>
      </c>
      <c r="DBY3" s="28" t="e" cm="1" vm="1">
        <f t="array" ref="DBY3">_xlfn._xlws.FILTER(Rutas,_xlfn._xlws.FILTER($B$2:$B$10000,$B$2:$B$10000&lt;&gt;"")=VALUE(INDEX(IdClientes,MATCH(DBY2,Clientes,0))))</f>
        <v>#VALUE!</v>
      </c>
      <c r="DBZ3" s="28" t="e" cm="1" vm="1">
        <f t="array" ref="DBZ3">_xlfn._xlws.FILTER(Rutas,_xlfn._xlws.FILTER($B$2:$B$10000,$B$2:$B$10000&lt;&gt;"")=VALUE(INDEX(IdClientes,MATCH(DBZ2,Clientes,0))))</f>
        <v>#VALUE!</v>
      </c>
      <c r="DCA3" s="28" t="e" cm="1" vm="1">
        <f t="array" ref="DCA3">_xlfn._xlws.FILTER(Rutas,_xlfn._xlws.FILTER($B$2:$B$10000,$B$2:$B$10000&lt;&gt;"")=VALUE(INDEX(IdClientes,MATCH(DCA2,Clientes,0))))</f>
        <v>#VALUE!</v>
      </c>
      <c r="DCB3" s="28" t="e" cm="1" vm="1">
        <f t="array" ref="DCB3">_xlfn._xlws.FILTER(Rutas,_xlfn._xlws.FILTER($B$2:$B$10000,$B$2:$B$10000&lt;&gt;"")=VALUE(INDEX(IdClientes,MATCH(DCB2,Clientes,0))))</f>
        <v>#VALUE!</v>
      </c>
      <c r="DCC3" s="28" t="e" cm="1" vm="1">
        <f t="array" ref="DCC3">_xlfn._xlws.FILTER(Rutas,_xlfn._xlws.FILTER($B$2:$B$10000,$B$2:$B$10000&lt;&gt;"")=VALUE(INDEX(IdClientes,MATCH(DCC2,Clientes,0))))</f>
        <v>#VALUE!</v>
      </c>
      <c r="DCD3" s="28" t="e" cm="1" vm="1">
        <f t="array" ref="DCD3">_xlfn._xlws.FILTER(Rutas,_xlfn._xlws.FILTER($B$2:$B$10000,$B$2:$B$10000&lt;&gt;"")=VALUE(INDEX(IdClientes,MATCH(DCD2,Clientes,0))))</f>
        <v>#VALUE!</v>
      </c>
      <c r="DCE3" s="28" t="e" cm="1" vm="1">
        <f t="array" ref="DCE3">_xlfn._xlws.FILTER(Rutas,_xlfn._xlws.FILTER($B$2:$B$10000,$B$2:$B$10000&lt;&gt;"")=VALUE(INDEX(IdClientes,MATCH(DCE2,Clientes,0))))</f>
        <v>#VALUE!</v>
      </c>
      <c r="DCF3" s="28" t="e" cm="1" vm="1">
        <f t="array" ref="DCF3">_xlfn._xlws.FILTER(Rutas,_xlfn._xlws.FILTER($B$2:$B$10000,$B$2:$B$10000&lt;&gt;"")=VALUE(INDEX(IdClientes,MATCH(DCF2,Clientes,0))))</f>
        <v>#VALUE!</v>
      </c>
      <c r="DCG3" s="28" t="e" cm="1" vm="1">
        <f t="array" ref="DCG3">_xlfn._xlws.FILTER(Rutas,_xlfn._xlws.FILTER($B$2:$B$10000,$B$2:$B$10000&lt;&gt;"")=VALUE(INDEX(IdClientes,MATCH(DCG2,Clientes,0))))</f>
        <v>#VALUE!</v>
      </c>
      <c r="DCH3" s="28" t="e" cm="1" vm="1">
        <f t="array" ref="DCH3">_xlfn._xlws.FILTER(Rutas,_xlfn._xlws.FILTER($B$2:$B$10000,$B$2:$B$10000&lt;&gt;"")=VALUE(INDEX(IdClientes,MATCH(DCH2,Clientes,0))))</f>
        <v>#VALUE!</v>
      </c>
      <c r="DCI3" s="28" t="e" cm="1" vm="1">
        <f t="array" ref="DCI3">_xlfn._xlws.FILTER(Rutas,_xlfn._xlws.FILTER($B$2:$B$10000,$B$2:$B$10000&lt;&gt;"")=VALUE(INDEX(IdClientes,MATCH(DCI2,Clientes,0))))</f>
        <v>#VALUE!</v>
      </c>
      <c r="DCJ3" s="28" t="e" cm="1" vm="1">
        <f t="array" ref="DCJ3">_xlfn._xlws.FILTER(Rutas,_xlfn._xlws.FILTER($B$2:$B$10000,$B$2:$B$10000&lt;&gt;"")=VALUE(INDEX(IdClientes,MATCH(DCJ2,Clientes,0))))</f>
        <v>#VALUE!</v>
      </c>
      <c r="DCK3" s="28" t="e" cm="1" vm="1">
        <f t="array" ref="DCK3">_xlfn._xlws.FILTER(Rutas,_xlfn._xlws.FILTER($B$2:$B$10000,$B$2:$B$10000&lt;&gt;"")=VALUE(INDEX(IdClientes,MATCH(DCK2,Clientes,0))))</f>
        <v>#VALUE!</v>
      </c>
      <c r="DCL3" s="28" t="e" cm="1" vm="1">
        <f t="array" ref="DCL3">_xlfn._xlws.FILTER(Rutas,_xlfn._xlws.FILTER($B$2:$B$10000,$B$2:$B$10000&lt;&gt;"")=VALUE(INDEX(IdClientes,MATCH(DCL2,Clientes,0))))</f>
        <v>#VALUE!</v>
      </c>
      <c r="DCM3" s="28" t="e" cm="1" vm="1">
        <f t="array" ref="DCM3">_xlfn._xlws.FILTER(Rutas,_xlfn._xlws.FILTER($B$2:$B$10000,$B$2:$B$10000&lt;&gt;"")=VALUE(INDEX(IdClientes,MATCH(DCM2,Clientes,0))))</f>
        <v>#VALUE!</v>
      </c>
      <c r="DCN3" s="28" t="e" cm="1" vm="1">
        <f t="array" ref="DCN3">_xlfn._xlws.FILTER(Rutas,_xlfn._xlws.FILTER($B$2:$B$10000,$B$2:$B$10000&lt;&gt;"")=VALUE(INDEX(IdClientes,MATCH(DCN2,Clientes,0))))</f>
        <v>#VALUE!</v>
      </c>
      <c r="DCO3" s="28" t="e" cm="1" vm="1">
        <f t="array" ref="DCO3">_xlfn._xlws.FILTER(Rutas,_xlfn._xlws.FILTER($B$2:$B$10000,$B$2:$B$10000&lt;&gt;"")=VALUE(INDEX(IdClientes,MATCH(DCO2,Clientes,0))))</f>
        <v>#VALUE!</v>
      </c>
      <c r="DCP3" s="28" t="e" cm="1" vm="1">
        <f t="array" ref="DCP3">_xlfn._xlws.FILTER(Rutas,_xlfn._xlws.FILTER($B$2:$B$10000,$B$2:$B$10000&lt;&gt;"")=VALUE(INDEX(IdClientes,MATCH(DCP2,Clientes,0))))</f>
        <v>#VALUE!</v>
      </c>
      <c r="DCQ3" s="28" t="e" cm="1" vm="1">
        <f t="array" ref="DCQ3">_xlfn._xlws.FILTER(Rutas,_xlfn._xlws.FILTER($B$2:$B$10000,$B$2:$B$10000&lt;&gt;"")=VALUE(INDEX(IdClientes,MATCH(DCQ2,Clientes,0))))</f>
        <v>#VALUE!</v>
      </c>
      <c r="DCR3" s="28" t="e" cm="1" vm="1">
        <f t="array" ref="DCR3">_xlfn._xlws.FILTER(Rutas,_xlfn._xlws.FILTER($B$2:$B$10000,$B$2:$B$10000&lt;&gt;"")=VALUE(INDEX(IdClientes,MATCH(DCR2,Clientes,0))))</f>
        <v>#VALUE!</v>
      </c>
      <c r="DCS3" s="28" t="e" cm="1" vm="1">
        <f t="array" ref="DCS3">_xlfn._xlws.FILTER(Rutas,_xlfn._xlws.FILTER($B$2:$B$10000,$B$2:$B$10000&lt;&gt;"")=VALUE(INDEX(IdClientes,MATCH(DCS2,Clientes,0))))</f>
        <v>#VALUE!</v>
      </c>
      <c r="DCT3" s="28" t="e" cm="1" vm="1">
        <f t="array" ref="DCT3">_xlfn._xlws.FILTER(Rutas,_xlfn._xlws.FILTER($B$2:$B$10000,$B$2:$B$10000&lt;&gt;"")=VALUE(INDEX(IdClientes,MATCH(DCT2,Clientes,0))))</f>
        <v>#VALUE!</v>
      </c>
      <c r="DCU3" s="28" t="e" cm="1" vm="1">
        <f t="array" ref="DCU3">_xlfn._xlws.FILTER(Rutas,_xlfn._xlws.FILTER($B$2:$B$10000,$B$2:$B$10000&lt;&gt;"")=VALUE(INDEX(IdClientes,MATCH(DCU2,Clientes,0))))</f>
        <v>#VALUE!</v>
      </c>
      <c r="DCV3" s="28" t="e" cm="1" vm="1">
        <f t="array" ref="DCV3">_xlfn._xlws.FILTER(Rutas,_xlfn._xlws.FILTER($B$2:$B$10000,$B$2:$B$10000&lt;&gt;"")=VALUE(INDEX(IdClientes,MATCH(DCV2,Clientes,0))))</f>
        <v>#VALUE!</v>
      </c>
      <c r="DCW3" s="28" t="e" cm="1" vm="1">
        <f t="array" ref="DCW3">_xlfn._xlws.FILTER(Rutas,_xlfn._xlws.FILTER($B$2:$B$10000,$B$2:$B$10000&lt;&gt;"")=VALUE(INDEX(IdClientes,MATCH(DCW2,Clientes,0))))</f>
        <v>#VALUE!</v>
      </c>
      <c r="DCX3" s="28" t="e" cm="1" vm="1">
        <f t="array" ref="DCX3">_xlfn._xlws.FILTER(Rutas,_xlfn._xlws.FILTER($B$2:$B$10000,$B$2:$B$10000&lt;&gt;"")=VALUE(INDEX(IdClientes,MATCH(DCX2,Clientes,0))))</f>
        <v>#VALUE!</v>
      </c>
      <c r="DCY3" s="28" t="e" cm="1" vm="1">
        <f t="array" ref="DCY3">_xlfn._xlws.FILTER(Rutas,_xlfn._xlws.FILTER($B$2:$B$10000,$B$2:$B$10000&lt;&gt;"")=VALUE(INDEX(IdClientes,MATCH(DCY2,Clientes,0))))</f>
        <v>#VALUE!</v>
      </c>
      <c r="DCZ3" s="28" t="e" cm="1" vm="1">
        <f t="array" ref="DCZ3">_xlfn._xlws.FILTER(Rutas,_xlfn._xlws.FILTER($B$2:$B$10000,$B$2:$B$10000&lt;&gt;"")=VALUE(INDEX(IdClientes,MATCH(DCZ2,Clientes,0))))</f>
        <v>#VALUE!</v>
      </c>
      <c r="DDA3" s="28" t="e" cm="1" vm="1">
        <f t="array" ref="DDA3">_xlfn._xlws.FILTER(Rutas,_xlfn._xlws.FILTER($B$2:$B$10000,$B$2:$B$10000&lt;&gt;"")=VALUE(INDEX(IdClientes,MATCH(DDA2,Clientes,0))))</f>
        <v>#VALUE!</v>
      </c>
      <c r="DDB3" s="28" t="e" cm="1" vm="1">
        <f t="array" ref="DDB3">_xlfn._xlws.FILTER(Rutas,_xlfn._xlws.FILTER($B$2:$B$10000,$B$2:$B$10000&lt;&gt;"")=VALUE(INDEX(IdClientes,MATCH(DDB2,Clientes,0))))</f>
        <v>#VALUE!</v>
      </c>
      <c r="DDC3" s="28" t="e" cm="1" vm="1">
        <f t="array" ref="DDC3">_xlfn._xlws.FILTER(Rutas,_xlfn._xlws.FILTER($B$2:$B$10000,$B$2:$B$10000&lt;&gt;"")=VALUE(INDEX(IdClientes,MATCH(DDC2,Clientes,0))))</f>
        <v>#VALUE!</v>
      </c>
      <c r="DDD3" s="28" t="e" cm="1" vm="1">
        <f t="array" ref="DDD3">_xlfn._xlws.FILTER(Rutas,_xlfn._xlws.FILTER($B$2:$B$10000,$B$2:$B$10000&lt;&gt;"")=VALUE(INDEX(IdClientes,MATCH(DDD2,Clientes,0))))</f>
        <v>#VALUE!</v>
      </c>
      <c r="DDE3" s="28" t="e" cm="1" vm="1">
        <f t="array" ref="DDE3">_xlfn._xlws.FILTER(Rutas,_xlfn._xlws.FILTER($B$2:$B$10000,$B$2:$B$10000&lt;&gt;"")=VALUE(INDEX(IdClientes,MATCH(DDE2,Clientes,0))))</f>
        <v>#VALUE!</v>
      </c>
      <c r="DDF3" s="28" t="e" cm="1" vm="1">
        <f t="array" ref="DDF3">_xlfn._xlws.FILTER(Rutas,_xlfn._xlws.FILTER($B$2:$B$10000,$B$2:$B$10000&lt;&gt;"")=VALUE(INDEX(IdClientes,MATCH(DDF2,Clientes,0))))</f>
        <v>#VALUE!</v>
      </c>
      <c r="DDG3" s="28" t="e" cm="1" vm="1">
        <f t="array" ref="DDG3">_xlfn._xlws.FILTER(Rutas,_xlfn._xlws.FILTER($B$2:$B$10000,$B$2:$B$10000&lt;&gt;"")=VALUE(INDEX(IdClientes,MATCH(DDG2,Clientes,0))))</f>
        <v>#VALUE!</v>
      </c>
      <c r="DDH3" s="28" t="e" cm="1" vm="1">
        <f t="array" ref="DDH3">_xlfn._xlws.FILTER(Rutas,_xlfn._xlws.FILTER($B$2:$B$10000,$B$2:$B$10000&lt;&gt;"")=VALUE(INDEX(IdClientes,MATCH(DDH2,Clientes,0))))</f>
        <v>#VALUE!</v>
      </c>
      <c r="DDI3" s="28" t="e" cm="1" vm="1">
        <f t="array" ref="DDI3">_xlfn._xlws.FILTER(Rutas,_xlfn._xlws.FILTER($B$2:$B$10000,$B$2:$B$10000&lt;&gt;"")=VALUE(INDEX(IdClientes,MATCH(DDI2,Clientes,0))))</f>
        <v>#VALUE!</v>
      </c>
      <c r="DDJ3" s="28" t="e" cm="1" vm="1">
        <f t="array" ref="DDJ3">_xlfn._xlws.FILTER(Rutas,_xlfn._xlws.FILTER($B$2:$B$10000,$B$2:$B$10000&lt;&gt;"")=VALUE(INDEX(IdClientes,MATCH(DDJ2,Clientes,0))))</f>
        <v>#VALUE!</v>
      </c>
      <c r="DDK3" s="28" t="e" cm="1" vm="1">
        <f t="array" ref="DDK3">_xlfn._xlws.FILTER(Rutas,_xlfn._xlws.FILTER($B$2:$B$10000,$B$2:$B$10000&lt;&gt;"")=VALUE(INDEX(IdClientes,MATCH(DDK2,Clientes,0))))</f>
        <v>#VALUE!</v>
      </c>
      <c r="DDL3" s="28" t="e" cm="1" vm="1">
        <f t="array" ref="DDL3">_xlfn._xlws.FILTER(Rutas,_xlfn._xlws.FILTER($B$2:$B$10000,$B$2:$B$10000&lt;&gt;"")=VALUE(INDEX(IdClientes,MATCH(DDL2,Clientes,0))))</f>
        <v>#VALUE!</v>
      </c>
      <c r="DDM3" s="28" t="e" cm="1" vm="1">
        <f t="array" ref="DDM3">_xlfn._xlws.FILTER(Rutas,_xlfn._xlws.FILTER($B$2:$B$10000,$B$2:$B$10000&lt;&gt;"")=VALUE(INDEX(IdClientes,MATCH(DDM2,Clientes,0))))</f>
        <v>#VALUE!</v>
      </c>
      <c r="DDN3" s="28" t="e" cm="1" vm="1">
        <f t="array" ref="DDN3">_xlfn._xlws.FILTER(Rutas,_xlfn._xlws.FILTER($B$2:$B$10000,$B$2:$B$10000&lt;&gt;"")=VALUE(INDEX(IdClientes,MATCH(DDN2,Clientes,0))))</f>
        <v>#VALUE!</v>
      </c>
      <c r="DDO3" s="28" t="e" cm="1" vm="1">
        <f t="array" ref="DDO3">_xlfn._xlws.FILTER(Rutas,_xlfn._xlws.FILTER($B$2:$B$10000,$B$2:$B$10000&lt;&gt;"")=VALUE(INDEX(IdClientes,MATCH(DDO2,Clientes,0))))</f>
        <v>#VALUE!</v>
      </c>
      <c r="DDP3" s="28" t="e" cm="1" vm="1">
        <f t="array" ref="DDP3">_xlfn._xlws.FILTER(Rutas,_xlfn._xlws.FILTER($B$2:$B$10000,$B$2:$B$10000&lt;&gt;"")=VALUE(INDEX(IdClientes,MATCH(DDP2,Clientes,0))))</f>
        <v>#VALUE!</v>
      </c>
      <c r="DDQ3" s="28" t="e" cm="1" vm="1">
        <f t="array" ref="DDQ3">_xlfn._xlws.FILTER(Rutas,_xlfn._xlws.FILTER($B$2:$B$10000,$B$2:$B$10000&lt;&gt;"")=VALUE(INDEX(IdClientes,MATCH(DDQ2,Clientes,0))))</f>
        <v>#VALUE!</v>
      </c>
      <c r="DDR3" s="28" t="e" cm="1" vm="1">
        <f t="array" ref="DDR3">_xlfn._xlws.FILTER(Rutas,_xlfn._xlws.FILTER($B$2:$B$10000,$B$2:$B$10000&lt;&gt;"")=VALUE(INDEX(IdClientes,MATCH(DDR2,Clientes,0))))</f>
        <v>#VALUE!</v>
      </c>
      <c r="DDS3" s="28" t="e" cm="1" vm="1">
        <f t="array" ref="DDS3">_xlfn._xlws.FILTER(Rutas,_xlfn._xlws.FILTER($B$2:$B$10000,$B$2:$B$10000&lt;&gt;"")=VALUE(INDEX(IdClientes,MATCH(DDS2,Clientes,0))))</f>
        <v>#VALUE!</v>
      </c>
      <c r="DDT3" s="28" t="e" cm="1" vm="1">
        <f t="array" ref="DDT3">_xlfn._xlws.FILTER(Rutas,_xlfn._xlws.FILTER($B$2:$B$10000,$B$2:$B$10000&lt;&gt;"")=VALUE(INDEX(IdClientes,MATCH(DDT2,Clientes,0))))</f>
        <v>#VALUE!</v>
      </c>
      <c r="DDU3" s="28" t="e" cm="1" vm="1">
        <f t="array" ref="DDU3">_xlfn._xlws.FILTER(Rutas,_xlfn._xlws.FILTER($B$2:$B$10000,$B$2:$B$10000&lt;&gt;"")=VALUE(INDEX(IdClientes,MATCH(DDU2,Clientes,0))))</f>
        <v>#VALUE!</v>
      </c>
      <c r="DDV3" s="28" t="e" cm="1" vm="1">
        <f t="array" ref="DDV3">_xlfn._xlws.FILTER(Rutas,_xlfn._xlws.FILTER($B$2:$B$10000,$B$2:$B$10000&lt;&gt;"")=VALUE(INDEX(IdClientes,MATCH(DDV2,Clientes,0))))</f>
        <v>#VALUE!</v>
      </c>
      <c r="DDW3" s="28" t="e" cm="1" vm="1">
        <f t="array" ref="DDW3">_xlfn._xlws.FILTER(Rutas,_xlfn._xlws.FILTER($B$2:$B$10000,$B$2:$B$10000&lt;&gt;"")=VALUE(INDEX(IdClientes,MATCH(DDW2,Clientes,0))))</f>
        <v>#VALUE!</v>
      </c>
      <c r="DDX3" s="28" t="e" cm="1" vm="1">
        <f t="array" ref="DDX3">_xlfn._xlws.FILTER(Rutas,_xlfn._xlws.FILTER($B$2:$B$10000,$B$2:$B$10000&lt;&gt;"")=VALUE(INDEX(IdClientes,MATCH(DDX2,Clientes,0))))</f>
        <v>#VALUE!</v>
      </c>
      <c r="DDY3" s="28" t="e" cm="1" vm="1">
        <f t="array" ref="DDY3">_xlfn._xlws.FILTER(Rutas,_xlfn._xlws.FILTER($B$2:$B$10000,$B$2:$B$10000&lt;&gt;"")=VALUE(INDEX(IdClientes,MATCH(DDY2,Clientes,0))))</f>
        <v>#VALUE!</v>
      </c>
      <c r="DDZ3" s="28" t="e" cm="1" vm="1">
        <f t="array" ref="DDZ3">_xlfn._xlws.FILTER(Rutas,_xlfn._xlws.FILTER($B$2:$B$10000,$B$2:$B$10000&lt;&gt;"")=VALUE(INDEX(IdClientes,MATCH(DDZ2,Clientes,0))))</f>
        <v>#VALUE!</v>
      </c>
      <c r="DEA3" s="28" t="e" cm="1" vm="1">
        <f t="array" ref="DEA3">_xlfn._xlws.FILTER(Rutas,_xlfn._xlws.FILTER($B$2:$B$10000,$B$2:$B$10000&lt;&gt;"")=VALUE(INDEX(IdClientes,MATCH(DEA2,Clientes,0))))</f>
        <v>#VALUE!</v>
      </c>
      <c r="DEB3" s="28" t="e" cm="1" vm="1">
        <f t="array" ref="DEB3">_xlfn._xlws.FILTER(Rutas,_xlfn._xlws.FILTER($B$2:$B$10000,$B$2:$B$10000&lt;&gt;"")=VALUE(INDEX(IdClientes,MATCH(DEB2,Clientes,0))))</f>
        <v>#VALUE!</v>
      </c>
      <c r="DEC3" s="28" t="e" cm="1" vm="1">
        <f t="array" ref="DEC3">_xlfn._xlws.FILTER(Rutas,_xlfn._xlws.FILTER($B$2:$B$10000,$B$2:$B$10000&lt;&gt;"")=VALUE(INDEX(IdClientes,MATCH(DEC2,Clientes,0))))</f>
        <v>#VALUE!</v>
      </c>
      <c r="DED3" s="28" t="e" cm="1" vm="1">
        <f t="array" ref="DED3">_xlfn._xlws.FILTER(Rutas,_xlfn._xlws.FILTER($B$2:$B$10000,$B$2:$B$10000&lt;&gt;"")=VALUE(INDEX(IdClientes,MATCH(DED2,Clientes,0))))</f>
        <v>#VALUE!</v>
      </c>
      <c r="DEE3" s="28" t="e" cm="1" vm="1">
        <f t="array" ref="DEE3">_xlfn._xlws.FILTER(Rutas,_xlfn._xlws.FILTER($B$2:$B$10000,$B$2:$B$10000&lt;&gt;"")=VALUE(INDEX(IdClientes,MATCH(DEE2,Clientes,0))))</f>
        <v>#VALUE!</v>
      </c>
      <c r="DEF3" s="28" t="e" cm="1" vm="1">
        <f t="array" ref="DEF3">_xlfn._xlws.FILTER(Rutas,_xlfn._xlws.FILTER($B$2:$B$10000,$B$2:$B$10000&lt;&gt;"")=VALUE(INDEX(IdClientes,MATCH(DEF2,Clientes,0))))</f>
        <v>#VALUE!</v>
      </c>
      <c r="DEG3" s="28" t="e" cm="1" vm="1">
        <f t="array" ref="DEG3">_xlfn._xlws.FILTER(Rutas,_xlfn._xlws.FILTER($B$2:$B$10000,$B$2:$B$10000&lt;&gt;"")=VALUE(INDEX(IdClientes,MATCH(DEG2,Clientes,0))))</f>
        <v>#VALUE!</v>
      </c>
      <c r="DEH3" s="28" t="e" cm="1" vm="1">
        <f t="array" ref="DEH3">_xlfn._xlws.FILTER(Rutas,_xlfn._xlws.FILTER($B$2:$B$10000,$B$2:$B$10000&lt;&gt;"")=VALUE(INDEX(IdClientes,MATCH(DEH2,Clientes,0))))</f>
        <v>#VALUE!</v>
      </c>
      <c r="DEI3" s="28" t="e" cm="1" vm="1">
        <f t="array" ref="DEI3">_xlfn._xlws.FILTER(Rutas,_xlfn._xlws.FILTER($B$2:$B$10000,$B$2:$B$10000&lt;&gt;"")=VALUE(INDEX(IdClientes,MATCH(DEI2,Clientes,0))))</f>
        <v>#VALUE!</v>
      </c>
      <c r="DEJ3" s="28" t="e" cm="1" vm="1">
        <f t="array" ref="DEJ3">_xlfn._xlws.FILTER(Rutas,_xlfn._xlws.FILTER($B$2:$B$10000,$B$2:$B$10000&lt;&gt;"")=VALUE(INDEX(IdClientes,MATCH(DEJ2,Clientes,0))))</f>
        <v>#VALUE!</v>
      </c>
      <c r="DEK3" s="28" t="e" cm="1" vm="1">
        <f t="array" ref="DEK3">_xlfn._xlws.FILTER(Rutas,_xlfn._xlws.FILTER($B$2:$B$10000,$B$2:$B$10000&lt;&gt;"")=VALUE(INDEX(IdClientes,MATCH(DEK2,Clientes,0))))</f>
        <v>#VALUE!</v>
      </c>
      <c r="DEL3" s="28" t="e" cm="1" vm="1">
        <f t="array" ref="DEL3">_xlfn._xlws.FILTER(Rutas,_xlfn._xlws.FILTER($B$2:$B$10000,$B$2:$B$10000&lt;&gt;"")=VALUE(INDEX(IdClientes,MATCH(DEL2,Clientes,0))))</f>
        <v>#VALUE!</v>
      </c>
      <c r="DEM3" s="28" t="e" cm="1" vm="1">
        <f t="array" ref="DEM3">_xlfn._xlws.FILTER(Rutas,_xlfn._xlws.FILTER($B$2:$B$10000,$B$2:$B$10000&lt;&gt;"")=VALUE(INDEX(IdClientes,MATCH(DEM2,Clientes,0))))</f>
        <v>#VALUE!</v>
      </c>
      <c r="DEN3" s="28" t="e" cm="1" vm="1">
        <f t="array" ref="DEN3">_xlfn._xlws.FILTER(Rutas,_xlfn._xlws.FILTER($B$2:$B$10000,$B$2:$B$10000&lt;&gt;"")=VALUE(INDEX(IdClientes,MATCH(DEN2,Clientes,0))))</f>
        <v>#VALUE!</v>
      </c>
      <c r="DEO3" s="28" t="e" cm="1" vm="1">
        <f t="array" ref="DEO3">_xlfn._xlws.FILTER(Rutas,_xlfn._xlws.FILTER($B$2:$B$10000,$B$2:$B$10000&lt;&gt;"")=VALUE(INDEX(IdClientes,MATCH(DEO2,Clientes,0))))</f>
        <v>#VALUE!</v>
      </c>
      <c r="DEP3" s="28" t="e" cm="1" vm="1">
        <f t="array" ref="DEP3">_xlfn._xlws.FILTER(Rutas,_xlfn._xlws.FILTER($B$2:$B$10000,$B$2:$B$10000&lt;&gt;"")=VALUE(INDEX(IdClientes,MATCH(DEP2,Clientes,0))))</f>
        <v>#VALUE!</v>
      </c>
      <c r="DEQ3" s="28" t="e" cm="1" vm="1">
        <f t="array" ref="DEQ3">_xlfn._xlws.FILTER(Rutas,_xlfn._xlws.FILTER($B$2:$B$10000,$B$2:$B$10000&lt;&gt;"")=VALUE(INDEX(IdClientes,MATCH(DEQ2,Clientes,0))))</f>
        <v>#VALUE!</v>
      </c>
      <c r="DER3" s="28" t="e" cm="1" vm="1">
        <f t="array" ref="DER3">_xlfn._xlws.FILTER(Rutas,_xlfn._xlws.FILTER($B$2:$B$10000,$B$2:$B$10000&lt;&gt;"")=VALUE(INDEX(IdClientes,MATCH(DER2,Clientes,0))))</f>
        <v>#VALUE!</v>
      </c>
      <c r="DES3" s="28" t="e" cm="1" vm="1">
        <f t="array" ref="DES3">_xlfn._xlws.FILTER(Rutas,_xlfn._xlws.FILTER($B$2:$B$10000,$B$2:$B$10000&lt;&gt;"")=VALUE(INDEX(IdClientes,MATCH(DES2,Clientes,0))))</f>
        <v>#VALUE!</v>
      </c>
      <c r="DET3" s="28" t="e" cm="1" vm="1">
        <f t="array" ref="DET3">_xlfn._xlws.FILTER(Rutas,_xlfn._xlws.FILTER($B$2:$B$10000,$B$2:$B$10000&lt;&gt;"")=VALUE(INDEX(IdClientes,MATCH(DET2,Clientes,0))))</f>
        <v>#VALUE!</v>
      </c>
      <c r="DEU3" s="28" t="e" cm="1" vm="1">
        <f t="array" ref="DEU3">_xlfn._xlws.FILTER(Rutas,_xlfn._xlws.FILTER($B$2:$B$10000,$B$2:$B$10000&lt;&gt;"")=VALUE(INDEX(IdClientes,MATCH(DEU2,Clientes,0))))</f>
        <v>#VALUE!</v>
      </c>
      <c r="DEV3" s="28" t="e" cm="1" vm="1">
        <f t="array" ref="DEV3">_xlfn._xlws.FILTER(Rutas,_xlfn._xlws.FILTER($B$2:$B$10000,$B$2:$B$10000&lt;&gt;"")=VALUE(INDEX(IdClientes,MATCH(DEV2,Clientes,0))))</f>
        <v>#VALUE!</v>
      </c>
      <c r="DEW3" s="28" t="e" cm="1" vm="1">
        <f t="array" ref="DEW3">_xlfn._xlws.FILTER(Rutas,_xlfn._xlws.FILTER($B$2:$B$10000,$B$2:$B$10000&lt;&gt;"")=VALUE(INDEX(IdClientes,MATCH(DEW2,Clientes,0))))</f>
        <v>#VALUE!</v>
      </c>
      <c r="DEX3" s="28" t="e" cm="1" vm="1">
        <f t="array" ref="DEX3">_xlfn._xlws.FILTER(Rutas,_xlfn._xlws.FILTER($B$2:$B$10000,$B$2:$B$10000&lt;&gt;"")=VALUE(INDEX(IdClientes,MATCH(DEX2,Clientes,0))))</f>
        <v>#VALUE!</v>
      </c>
      <c r="DEY3" s="28" t="e" cm="1" vm="1">
        <f t="array" ref="DEY3">_xlfn._xlws.FILTER(Rutas,_xlfn._xlws.FILTER($B$2:$B$10000,$B$2:$B$10000&lt;&gt;"")=VALUE(INDEX(IdClientes,MATCH(DEY2,Clientes,0))))</f>
        <v>#VALUE!</v>
      </c>
      <c r="DEZ3" s="28" t="e" cm="1" vm="1">
        <f t="array" ref="DEZ3">_xlfn._xlws.FILTER(Rutas,_xlfn._xlws.FILTER($B$2:$B$10000,$B$2:$B$10000&lt;&gt;"")=VALUE(INDEX(IdClientes,MATCH(DEZ2,Clientes,0))))</f>
        <v>#VALUE!</v>
      </c>
      <c r="DFA3" s="28" t="e" cm="1" vm="1">
        <f t="array" ref="DFA3">_xlfn._xlws.FILTER(Rutas,_xlfn._xlws.FILTER($B$2:$B$10000,$B$2:$B$10000&lt;&gt;"")=VALUE(INDEX(IdClientes,MATCH(DFA2,Clientes,0))))</f>
        <v>#VALUE!</v>
      </c>
      <c r="DFB3" s="28" t="e" cm="1" vm="1">
        <f t="array" ref="DFB3">_xlfn._xlws.FILTER(Rutas,_xlfn._xlws.FILTER($B$2:$B$10000,$B$2:$B$10000&lt;&gt;"")=VALUE(INDEX(IdClientes,MATCH(DFB2,Clientes,0))))</f>
        <v>#VALUE!</v>
      </c>
      <c r="DFC3" s="28" t="e" cm="1" vm="1">
        <f t="array" ref="DFC3">_xlfn._xlws.FILTER(Rutas,_xlfn._xlws.FILTER($B$2:$B$10000,$B$2:$B$10000&lt;&gt;"")=VALUE(INDEX(IdClientes,MATCH(DFC2,Clientes,0))))</f>
        <v>#VALUE!</v>
      </c>
      <c r="DFD3" s="28" t="e" cm="1" vm="1">
        <f t="array" ref="DFD3">_xlfn._xlws.FILTER(Rutas,_xlfn._xlws.FILTER($B$2:$B$10000,$B$2:$B$10000&lt;&gt;"")=VALUE(INDEX(IdClientes,MATCH(DFD2,Clientes,0))))</f>
        <v>#VALUE!</v>
      </c>
      <c r="DFE3" s="28" t="e" cm="1" vm="1">
        <f t="array" ref="DFE3">_xlfn._xlws.FILTER(Rutas,_xlfn._xlws.FILTER($B$2:$B$10000,$B$2:$B$10000&lt;&gt;"")=VALUE(INDEX(IdClientes,MATCH(DFE2,Clientes,0))))</f>
        <v>#VALUE!</v>
      </c>
      <c r="DFF3" s="28" t="e" cm="1" vm="1">
        <f t="array" ref="DFF3">_xlfn._xlws.FILTER(Rutas,_xlfn._xlws.FILTER($B$2:$B$10000,$B$2:$B$10000&lt;&gt;"")=VALUE(INDEX(IdClientes,MATCH(DFF2,Clientes,0))))</f>
        <v>#VALUE!</v>
      </c>
      <c r="DFG3" s="28" t="e" cm="1" vm="1">
        <f t="array" ref="DFG3">_xlfn._xlws.FILTER(Rutas,_xlfn._xlws.FILTER($B$2:$B$10000,$B$2:$B$10000&lt;&gt;"")=VALUE(INDEX(IdClientes,MATCH(DFG2,Clientes,0))))</f>
        <v>#VALUE!</v>
      </c>
      <c r="DFH3" s="28" t="e" cm="1" vm="1">
        <f t="array" ref="DFH3">_xlfn._xlws.FILTER(Rutas,_xlfn._xlws.FILTER($B$2:$B$10000,$B$2:$B$10000&lt;&gt;"")=VALUE(INDEX(IdClientes,MATCH(DFH2,Clientes,0))))</f>
        <v>#VALUE!</v>
      </c>
      <c r="DFI3" s="28" t="e" cm="1" vm="1">
        <f t="array" ref="DFI3">_xlfn._xlws.FILTER(Rutas,_xlfn._xlws.FILTER($B$2:$B$10000,$B$2:$B$10000&lt;&gt;"")=VALUE(INDEX(IdClientes,MATCH(DFI2,Clientes,0))))</f>
        <v>#VALUE!</v>
      </c>
      <c r="DFJ3" s="28" t="e" cm="1" vm="1">
        <f t="array" ref="DFJ3">_xlfn._xlws.FILTER(Rutas,_xlfn._xlws.FILTER($B$2:$B$10000,$B$2:$B$10000&lt;&gt;"")=VALUE(INDEX(IdClientes,MATCH(DFJ2,Clientes,0))))</f>
        <v>#VALUE!</v>
      </c>
      <c r="DFK3" s="28" t="e" cm="1" vm="1">
        <f t="array" ref="DFK3">_xlfn._xlws.FILTER(Rutas,_xlfn._xlws.FILTER($B$2:$B$10000,$B$2:$B$10000&lt;&gt;"")=VALUE(INDEX(IdClientes,MATCH(DFK2,Clientes,0))))</f>
        <v>#VALUE!</v>
      </c>
      <c r="DFL3" s="28" t="e" cm="1" vm="1">
        <f t="array" ref="DFL3">_xlfn._xlws.FILTER(Rutas,_xlfn._xlws.FILTER($B$2:$B$10000,$B$2:$B$10000&lt;&gt;"")=VALUE(INDEX(IdClientes,MATCH(DFL2,Clientes,0))))</f>
        <v>#VALUE!</v>
      </c>
      <c r="DFM3" s="28" t="e" cm="1" vm="1">
        <f t="array" ref="DFM3">_xlfn._xlws.FILTER(Rutas,_xlfn._xlws.FILTER($B$2:$B$10000,$B$2:$B$10000&lt;&gt;"")=VALUE(INDEX(IdClientes,MATCH(DFM2,Clientes,0))))</f>
        <v>#VALUE!</v>
      </c>
      <c r="DFN3" s="28" t="e" cm="1" vm="1">
        <f t="array" ref="DFN3">_xlfn._xlws.FILTER(Rutas,_xlfn._xlws.FILTER($B$2:$B$10000,$B$2:$B$10000&lt;&gt;"")=VALUE(INDEX(IdClientes,MATCH(DFN2,Clientes,0))))</f>
        <v>#VALUE!</v>
      </c>
      <c r="DFO3" s="28" t="e" cm="1" vm="1">
        <f t="array" ref="DFO3">_xlfn._xlws.FILTER(Rutas,_xlfn._xlws.FILTER($B$2:$B$10000,$B$2:$B$10000&lt;&gt;"")=VALUE(INDEX(IdClientes,MATCH(DFO2,Clientes,0))))</f>
        <v>#VALUE!</v>
      </c>
      <c r="DFP3" s="28" t="e" cm="1" vm="1">
        <f t="array" ref="DFP3">_xlfn._xlws.FILTER(Rutas,_xlfn._xlws.FILTER($B$2:$B$10000,$B$2:$B$10000&lt;&gt;"")=VALUE(INDEX(IdClientes,MATCH(DFP2,Clientes,0))))</f>
        <v>#VALUE!</v>
      </c>
      <c r="DFQ3" s="28" t="e" cm="1" vm="1">
        <f t="array" ref="DFQ3">_xlfn._xlws.FILTER(Rutas,_xlfn._xlws.FILTER($B$2:$B$10000,$B$2:$B$10000&lt;&gt;"")=VALUE(INDEX(IdClientes,MATCH(DFQ2,Clientes,0))))</f>
        <v>#VALUE!</v>
      </c>
      <c r="DFR3" s="28" t="e" cm="1" vm="1">
        <f t="array" ref="DFR3">_xlfn._xlws.FILTER(Rutas,_xlfn._xlws.FILTER($B$2:$B$10000,$B$2:$B$10000&lt;&gt;"")=VALUE(INDEX(IdClientes,MATCH(DFR2,Clientes,0))))</f>
        <v>#VALUE!</v>
      </c>
      <c r="DFS3" s="28" t="e" cm="1" vm="1">
        <f t="array" ref="DFS3">_xlfn._xlws.FILTER(Rutas,_xlfn._xlws.FILTER($B$2:$B$10000,$B$2:$B$10000&lt;&gt;"")=VALUE(INDEX(IdClientes,MATCH(DFS2,Clientes,0))))</f>
        <v>#VALUE!</v>
      </c>
      <c r="DFT3" s="28" t="e" cm="1" vm="1">
        <f t="array" ref="DFT3">_xlfn._xlws.FILTER(Rutas,_xlfn._xlws.FILTER($B$2:$B$10000,$B$2:$B$10000&lt;&gt;"")=VALUE(INDEX(IdClientes,MATCH(DFT2,Clientes,0))))</f>
        <v>#VALUE!</v>
      </c>
      <c r="DFU3" s="28" t="e" cm="1" vm="1">
        <f t="array" ref="DFU3">_xlfn._xlws.FILTER(Rutas,_xlfn._xlws.FILTER($B$2:$B$10000,$B$2:$B$10000&lt;&gt;"")=VALUE(INDEX(IdClientes,MATCH(DFU2,Clientes,0))))</f>
        <v>#VALUE!</v>
      </c>
      <c r="DFV3" s="28" t="e" cm="1" vm="1">
        <f t="array" ref="DFV3">_xlfn._xlws.FILTER(Rutas,_xlfn._xlws.FILTER($B$2:$B$10000,$B$2:$B$10000&lt;&gt;"")=VALUE(INDEX(IdClientes,MATCH(DFV2,Clientes,0))))</f>
        <v>#VALUE!</v>
      </c>
      <c r="DFW3" s="28" t="e" cm="1" vm="1">
        <f t="array" ref="DFW3">_xlfn._xlws.FILTER(Rutas,_xlfn._xlws.FILTER($B$2:$B$10000,$B$2:$B$10000&lt;&gt;"")=VALUE(INDEX(IdClientes,MATCH(DFW2,Clientes,0))))</f>
        <v>#VALUE!</v>
      </c>
      <c r="DFX3" s="28" t="e" cm="1" vm="1">
        <f t="array" ref="DFX3">_xlfn._xlws.FILTER(Rutas,_xlfn._xlws.FILTER($B$2:$B$10000,$B$2:$B$10000&lt;&gt;"")=VALUE(INDEX(IdClientes,MATCH(DFX2,Clientes,0))))</f>
        <v>#VALUE!</v>
      </c>
      <c r="DFY3" s="28" t="e" cm="1" vm="1">
        <f t="array" ref="DFY3">_xlfn._xlws.FILTER(Rutas,_xlfn._xlws.FILTER($B$2:$B$10000,$B$2:$B$10000&lt;&gt;"")=VALUE(INDEX(IdClientes,MATCH(DFY2,Clientes,0))))</f>
        <v>#VALUE!</v>
      </c>
      <c r="DFZ3" s="28" t="e" cm="1" vm="1">
        <f t="array" ref="DFZ3">_xlfn._xlws.FILTER(Rutas,_xlfn._xlws.FILTER($B$2:$B$10000,$B$2:$B$10000&lt;&gt;"")=VALUE(INDEX(IdClientes,MATCH(DFZ2,Clientes,0))))</f>
        <v>#VALUE!</v>
      </c>
      <c r="DGA3" s="28" t="e" cm="1" vm="1">
        <f t="array" ref="DGA3">_xlfn._xlws.FILTER(Rutas,_xlfn._xlws.FILTER($B$2:$B$10000,$B$2:$B$10000&lt;&gt;"")=VALUE(INDEX(IdClientes,MATCH(DGA2,Clientes,0))))</f>
        <v>#VALUE!</v>
      </c>
      <c r="DGB3" s="28" t="e" cm="1" vm="1">
        <f t="array" ref="DGB3">_xlfn._xlws.FILTER(Rutas,_xlfn._xlws.FILTER($B$2:$B$10000,$B$2:$B$10000&lt;&gt;"")=VALUE(INDEX(IdClientes,MATCH(DGB2,Clientes,0))))</f>
        <v>#VALUE!</v>
      </c>
      <c r="DGC3" s="28" t="e" cm="1" vm="1">
        <f t="array" ref="DGC3">_xlfn._xlws.FILTER(Rutas,_xlfn._xlws.FILTER($B$2:$B$10000,$B$2:$B$10000&lt;&gt;"")=VALUE(INDEX(IdClientes,MATCH(DGC2,Clientes,0))))</f>
        <v>#VALUE!</v>
      </c>
      <c r="DGD3" s="28" t="e" cm="1" vm="1">
        <f t="array" ref="DGD3">_xlfn._xlws.FILTER(Rutas,_xlfn._xlws.FILTER($B$2:$B$10000,$B$2:$B$10000&lt;&gt;"")=VALUE(INDEX(IdClientes,MATCH(DGD2,Clientes,0))))</f>
        <v>#VALUE!</v>
      </c>
      <c r="DGE3" s="28" t="e" cm="1" vm="1">
        <f t="array" ref="DGE3">_xlfn._xlws.FILTER(Rutas,_xlfn._xlws.FILTER($B$2:$B$10000,$B$2:$B$10000&lt;&gt;"")=VALUE(INDEX(IdClientes,MATCH(DGE2,Clientes,0))))</f>
        <v>#VALUE!</v>
      </c>
      <c r="DGF3" s="28" t="e" cm="1" vm="1">
        <f t="array" ref="DGF3">_xlfn._xlws.FILTER(Rutas,_xlfn._xlws.FILTER($B$2:$B$10000,$B$2:$B$10000&lt;&gt;"")=VALUE(INDEX(IdClientes,MATCH(DGF2,Clientes,0))))</f>
        <v>#VALUE!</v>
      </c>
      <c r="DGG3" s="28" t="e" cm="1" vm="1">
        <f t="array" ref="DGG3">_xlfn._xlws.FILTER(Rutas,_xlfn._xlws.FILTER($B$2:$B$10000,$B$2:$B$10000&lt;&gt;"")=VALUE(INDEX(IdClientes,MATCH(DGG2,Clientes,0))))</f>
        <v>#VALUE!</v>
      </c>
      <c r="DGH3" s="28" t="e" cm="1" vm="1">
        <f t="array" ref="DGH3">_xlfn._xlws.FILTER(Rutas,_xlfn._xlws.FILTER($B$2:$B$10000,$B$2:$B$10000&lt;&gt;"")=VALUE(INDEX(IdClientes,MATCH(DGH2,Clientes,0))))</f>
        <v>#VALUE!</v>
      </c>
      <c r="DGI3" s="28" t="e" cm="1" vm="1">
        <f t="array" ref="DGI3">_xlfn._xlws.FILTER(Rutas,_xlfn._xlws.FILTER($B$2:$B$10000,$B$2:$B$10000&lt;&gt;"")=VALUE(INDEX(IdClientes,MATCH(DGI2,Clientes,0))))</f>
        <v>#VALUE!</v>
      </c>
      <c r="DGJ3" s="28" t="e" cm="1" vm="1">
        <f t="array" ref="DGJ3">_xlfn._xlws.FILTER(Rutas,_xlfn._xlws.FILTER($B$2:$B$10000,$B$2:$B$10000&lt;&gt;"")=VALUE(INDEX(IdClientes,MATCH(DGJ2,Clientes,0))))</f>
        <v>#VALUE!</v>
      </c>
      <c r="DGK3" s="28" t="e" cm="1" vm="1">
        <f t="array" ref="DGK3">_xlfn._xlws.FILTER(Rutas,_xlfn._xlws.FILTER($B$2:$B$10000,$B$2:$B$10000&lt;&gt;"")=VALUE(INDEX(IdClientes,MATCH(DGK2,Clientes,0))))</f>
        <v>#VALUE!</v>
      </c>
      <c r="DGL3" s="28" t="e" cm="1" vm="1">
        <f t="array" ref="DGL3">_xlfn._xlws.FILTER(Rutas,_xlfn._xlws.FILTER($B$2:$B$10000,$B$2:$B$10000&lt;&gt;"")=VALUE(INDEX(IdClientes,MATCH(DGL2,Clientes,0))))</f>
        <v>#VALUE!</v>
      </c>
      <c r="DGM3" s="28" t="e" cm="1" vm="1">
        <f t="array" ref="DGM3">_xlfn._xlws.FILTER(Rutas,_xlfn._xlws.FILTER($B$2:$B$10000,$B$2:$B$10000&lt;&gt;"")=VALUE(INDEX(IdClientes,MATCH(DGM2,Clientes,0))))</f>
        <v>#VALUE!</v>
      </c>
      <c r="DGN3" s="28" t="e" cm="1" vm="1">
        <f t="array" ref="DGN3">_xlfn._xlws.FILTER(Rutas,_xlfn._xlws.FILTER($B$2:$B$10000,$B$2:$B$10000&lt;&gt;"")=VALUE(INDEX(IdClientes,MATCH(DGN2,Clientes,0))))</f>
        <v>#VALUE!</v>
      </c>
      <c r="DGO3" s="28" t="e" cm="1" vm="1">
        <f t="array" ref="DGO3">_xlfn._xlws.FILTER(Rutas,_xlfn._xlws.FILTER($B$2:$B$10000,$B$2:$B$10000&lt;&gt;"")=VALUE(INDEX(IdClientes,MATCH(DGO2,Clientes,0))))</f>
        <v>#VALUE!</v>
      </c>
      <c r="DGP3" s="28" t="e" cm="1" vm="1">
        <f t="array" ref="DGP3">_xlfn._xlws.FILTER(Rutas,_xlfn._xlws.FILTER($B$2:$B$10000,$B$2:$B$10000&lt;&gt;"")=VALUE(INDEX(IdClientes,MATCH(DGP2,Clientes,0))))</f>
        <v>#VALUE!</v>
      </c>
      <c r="DGQ3" s="28" t="e" cm="1" vm="1">
        <f t="array" ref="DGQ3">_xlfn._xlws.FILTER(Rutas,_xlfn._xlws.FILTER($B$2:$B$10000,$B$2:$B$10000&lt;&gt;"")=VALUE(INDEX(IdClientes,MATCH(DGQ2,Clientes,0))))</f>
        <v>#VALUE!</v>
      </c>
      <c r="DGR3" s="28" t="e" cm="1" vm="1">
        <f t="array" ref="DGR3">_xlfn._xlws.FILTER(Rutas,_xlfn._xlws.FILTER($B$2:$B$10000,$B$2:$B$10000&lt;&gt;"")=VALUE(INDEX(IdClientes,MATCH(DGR2,Clientes,0))))</f>
        <v>#VALUE!</v>
      </c>
      <c r="DGS3" s="28" t="e" cm="1" vm="1">
        <f t="array" ref="DGS3">_xlfn._xlws.FILTER(Rutas,_xlfn._xlws.FILTER($B$2:$B$10000,$B$2:$B$10000&lt;&gt;"")=VALUE(INDEX(IdClientes,MATCH(DGS2,Clientes,0))))</f>
        <v>#VALUE!</v>
      </c>
      <c r="DGT3" s="28" t="e" cm="1" vm="1">
        <f t="array" ref="DGT3">_xlfn._xlws.FILTER(Rutas,_xlfn._xlws.FILTER($B$2:$B$10000,$B$2:$B$10000&lt;&gt;"")=VALUE(INDEX(IdClientes,MATCH(DGT2,Clientes,0))))</f>
        <v>#VALUE!</v>
      </c>
      <c r="DGU3" s="28" t="e" cm="1" vm="1">
        <f t="array" ref="DGU3">_xlfn._xlws.FILTER(Rutas,_xlfn._xlws.FILTER($B$2:$B$10000,$B$2:$B$10000&lt;&gt;"")=VALUE(INDEX(IdClientes,MATCH(DGU2,Clientes,0))))</f>
        <v>#VALUE!</v>
      </c>
      <c r="DGV3" s="28" t="e" cm="1" vm="1">
        <f t="array" ref="DGV3">_xlfn._xlws.FILTER(Rutas,_xlfn._xlws.FILTER($B$2:$B$10000,$B$2:$B$10000&lt;&gt;"")=VALUE(INDEX(IdClientes,MATCH(DGV2,Clientes,0))))</f>
        <v>#VALUE!</v>
      </c>
      <c r="DGW3" s="28" t="e" cm="1" vm="1">
        <f t="array" ref="DGW3">_xlfn._xlws.FILTER(Rutas,_xlfn._xlws.FILTER($B$2:$B$10000,$B$2:$B$10000&lt;&gt;"")=VALUE(INDEX(IdClientes,MATCH(DGW2,Clientes,0))))</f>
        <v>#VALUE!</v>
      </c>
      <c r="DGX3" s="28" t="e" cm="1" vm="1">
        <f t="array" ref="DGX3">_xlfn._xlws.FILTER(Rutas,_xlfn._xlws.FILTER($B$2:$B$10000,$B$2:$B$10000&lt;&gt;"")=VALUE(INDEX(IdClientes,MATCH(DGX2,Clientes,0))))</f>
        <v>#VALUE!</v>
      </c>
      <c r="DGY3" s="28" t="e" cm="1" vm="1">
        <f t="array" ref="DGY3">_xlfn._xlws.FILTER(Rutas,_xlfn._xlws.FILTER($B$2:$B$10000,$B$2:$B$10000&lt;&gt;"")=VALUE(INDEX(IdClientes,MATCH(DGY2,Clientes,0))))</f>
        <v>#VALUE!</v>
      </c>
      <c r="DGZ3" s="28" t="e" cm="1" vm="1">
        <f t="array" ref="DGZ3">_xlfn._xlws.FILTER(Rutas,_xlfn._xlws.FILTER($B$2:$B$10000,$B$2:$B$10000&lt;&gt;"")=VALUE(INDEX(IdClientes,MATCH(DGZ2,Clientes,0))))</f>
        <v>#VALUE!</v>
      </c>
      <c r="DHA3" s="28" t="e" cm="1" vm="1">
        <f t="array" ref="DHA3">_xlfn._xlws.FILTER(Rutas,_xlfn._xlws.FILTER($B$2:$B$10000,$B$2:$B$10000&lt;&gt;"")=VALUE(INDEX(IdClientes,MATCH(DHA2,Clientes,0))))</f>
        <v>#VALUE!</v>
      </c>
      <c r="DHB3" s="28" t="e" cm="1" vm="1">
        <f t="array" ref="DHB3">_xlfn._xlws.FILTER(Rutas,_xlfn._xlws.FILTER($B$2:$B$10000,$B$2:$B$10000&lt;&gt;"")=VALUE(INDEX(IdClientes,MATCH(DHB2,Clientes,0))))</f>
        <v>#VALUE!</v>
      </c>
      <c r="DHC3" s="28" t="e" cm="1" vm="1">
        <f t="array" ref="DHC3">_xlfn._xlws.FILTER(Rutas,_xlfn._xlws.FILTER($B$2:$B$10000,$B$2:$B$10000&lt;&gt;"")=VALUE(INDEX(IdClientes,MATCH(DHC2,Clientes,0))))</f>
        <v>#VALUE!</v>
      </c>
      <c r="DHD3" s="28" t="e" cm="1" vm="1">
        <f t="array" ref="DHD3">_xlfn._xlws.FILTER(Rutas,_xlfn._xlws.FILTER($B$2:$B$10000,$B$2:$B$10000&lt;&gt;"")=VALUE(INDEX(IdClientes,MATCH(DHD2,Clientes,0))))</f>
        <v>#VALUE!</v>
      </c>
      <c r="DHE3" s="28" t="e" cm="1" vm="1">
        <f t="array" ref="DHE3">_xlfn._xlws.FILTER(Rutas,_xlfn._xlws.FILTER($B$2:$B$10000,$B$2:$B$10000&lt;&gt;"")=VALUE(INDEX(IdClientes,MATCH(DHE2,Clientes,0))))</f>
        <v>#VALUE!</v>
      </c>
      <c r="DHF3" s="28" t="e" cm="1" vm="1">
        <f t="array" ref="DHF3">_xlfn._xlws.FILTER(Rutas,_xlfn._xlws.FILTER($B$2:$B$10000,$B$2:$B$10000&lt;&gt;"")=VALUE(INDEX(IdClientes,MATCH(DHF2,Clientes,0))))</f>
        <v>#VALUE!</v>
      </c>
      <c r="DHG3" s="28" t="e" cm="1" vm="1">
        <f t="array" ref="DHG3">_xlfn._xlws.FILTER(Rutas,_xlfn._xlws.FILTER($B$2:$B$10000,$B$2:$B$10000&lt;&gt;"")=VALUE(INDEX(IdClientes,MATCH(DHG2,Clientes,0))))</f>
        <v>#VALUE!</v>
      </c>
      <c r="DHH3" s="28" t="e" cm="1" vm="1">
        <f t="array" ref="DHH3">_xlfn._xlws.FILTER(Rutas,_xlfn._xlws.FILTER($B$2:$B$10000,$B$2:$B$10000&lt;&gt;"")=VALUE(INDEX(IdClientes,MATCH(DHH2,Clientes,0))))</f>
        <v>#VALUE!</v>
      </c>
      <c r="DHI3" s="28" t="e" cm="1" vm="1">
        <f t="array" ref="DHI3">_xlfn._xlws.FILTER(Rutas,_xlfn._xlws.FILTER($B$2:$B$10000,$B$2:$B$10000&lt;&gt;"")=VALUE(INDEX(IdClientes,MATCH(DHI2,Clientes,0))))</f>
        <v>#VALUE!</v>
      </c>
      <c r="DHJ3" s="28" t="e" cm="1" vm="1">
        <f t="array" ref="DHJ3">_xlfn._xlws.FILTER(Rutas,_xlfn._xlws.FILTER($B$2:$B$10000,$B$2:$B$10000&lt;&gt;"")=VALUE(INDEX(IdClientes,MATCH(DHJ2,Clientes,0))))</f>
        <v>#VALUE!</v>
      </c>
      <c r="DHK3" s="28" t="e" cm="1" vm="1">
        <f t="array" ref="DHK3">_xlfn._xlws.FILTER(Rutas,_xlfn._xlws.FILTER($B$2:$B$10000,$B$2:$B$10000&lt;&gt;"")=VALUE(INDEX(IdClientes,MATCH(DHK2,Clientes,0))))</f>
        <v>#VALUE!</v>
      </c>
      <c r="DHL3" s="28" t="e" cm="1" vm="1">
        <f t="array" ref="DHL3">_xlfn._xlws.FILTER(Rutas,_xlfn._xlws.FILTER($B$2:$B$10000,$B$2:$B$10000&lt;&gt;"")=VALUE(INDEX(IdClientes,MATCH(DHL2,Clientes,0))))</f>
        <v>#VALUE!</v>
      </c>
      <c r="DHM3" s="28" t="e" cm="1" vm="1">
        <f t="array" ref="DHM3">_xlfn._xlws.FILTER(Rutas,_xlfn._xlws.FILTER($B$2:$B$10000,$B$2:$B$10000&lt;&gt;"")=VALUE(INDEX(IdClientes,MATCH(DHM2,Clientes,0))))</f>
        <v>#VALUE!</v>
      </c>
      <c r="DHN3" s="28" t="e" cm="1" vm="1">
        <f t="array" ref="DHN3">_xlfn._xlws.FILTER(Rutas,_xlfn._xlws.FILTER($B$2:$B$10000,$B$2:$B$10000&lt;&gt;"")=VALUE(INDEX(IdClientes,MATCH(DHN2,Clientes,0))))</f>
        <v>#VALUE!</v>
      </c>
      <c r="DHO3" s="28" t="e" cm="1" vm="1">
        <f t="array" ref="DHO3">_xlfn._xlws.FILTER(Rutas,_xlfn._xlws.FILTER($B$2:$B$10000,$B$2:$B$10000&lt;&gt;"")=VALUE(INDEX(IdClientes,MATCH(DHO2,Clientes,0))))</f>
        <v>#VALUE!</v>
      </c>
      <c r="DHP3" s="28" t="e" cm="1" vm="1">
        <f t="array" ref="DHP3">_xlfn._xlws.FILTER(Rutas,_xlfn._xlws.FILTER($B$2:$B$10000,$B$2:$B$10000&lt;&gt;"")=VALUE(INDEX(IdClientes,MATCH(DHP2,Clientes,0))))</f>
        <v>#VALUE!</v>
      </c>
      <c r="DHQ3" s="28" t="e" cm="1" vm="1">
        <f t="array" ref="DHQ3">_xlfn._xlws.FILTER(Rutas,_xlfn._xlws.FILTER($B$2:$B$10000,$B$2:$B$10000&lt;&gt;"")=VALUE(INDEX(IdClientes,MATCH(DHQ2,Clientes,0))))</f>
        <v>#VALUE!</v>
      </c>
      <c r="DHR3" s="28" t="e" cm="1" vm="1">
        <f t="array" ref="DHR3">_xlfn._xlws.FILTER(Rutas,_xlfn._xlws.FILTER($B$2:$B$10000,$B$2:$B$10000&lt;&gt;"")=VALUE(INDEX(IdClientes,MATCH(DHR2,Clientes,0))))</f>
        <v>#VALUE!</v>
      </c>
      <c r="DHS3" s="28" t="e" cm="1" vm="1">
        <f t="array" ref="DHS3">_xlfn._xlws.FILTER(Rutas,_xlfn._xlws.FILTER($B$2:$B$10000,$B$2:$B$10000&lt;&gt;"")=VALUE(INDEX(IdClientes,MATCH(DHS2,Clientes,0))))</f>
        <v>#VALUE!</v>
      </c>
      <c r="DHT3" s="28" t="e" cm="1" vm="1">
        <f t="array" ref="DHT3">_xlfn._xlws.FILTER(Rutas,_xlfn._xlws.FILTER($B$2:$B$10000,$B$2:$B$10000&lt;&gt;"")=VALUE(INDEX(IdClientes,MATCH(DHT2,Clientes,0))))</f>
        <v>#VALUE!</v>
      </c>
      <c r="DHU3" s="28" t="e" cm="1" vm="1">
        <f t="array" ref="DHU3">_xlfn._xlws.FILTER(Rutas,_xlfn._xlws.FILTER($B$2:$B$10000,$B$2:$B$10000&lt;&gt;"")=VALUE(INDEX(IdClientes,MATCH(DHU2,Clientes,0))))</f>
        <v>#VALUE!</v>
      </c>
      <c r="DHV3" s="28" t="e" cm="1" vm="1">
        <f t="array" ref="DHV3">_xlfn._xlws.FILTER(Rutas,_xlfn._xlws.FILTER($B$2:$B$10000,$B$2:$B$10000&lt;&gt;"")=VALUE(INDEX(IdClientes,MATCH(DHV2,Clientes,0))))</f>
        <v>#VALUE!</v>
      </c>
      <c r="DHW3" s="28" t="e" cm="1" vm="1">
        <f t="array" ref="DHW3">_xlfn._xlws.FILTER(Rutas,_xlfn._xlws.FILTER($B$2:$B$10000,$B$2:$B$10000&lt;&gt;"")=VALUE(INDEX(IdClientes,MATCH(DHW2,Clientes,0))))</f>
        <v>#VALUE!</v>
      </c>
      <c r="DHX3" s="28" t="e" cm="1" vm="1">
        <f t="array" ref="DHX3">_xlfn._xlws.FILTER(Rutas,_xlfn._xlws.FILTER($B$2:$B$10000,$B$2:$B$10000&lt;&gt;"")=VALUE(INDEX(IdClientes,MATCH(DHX2,Clientes,0))))</f>
        <v>#VALUE!</v>
      </c>
      <c r="DHY3" s="28" t="e" cm="1" vm="1">
        <f t="array" ref="DHY3">_xlfn._xlws.FILTER(Rutas,_xlfn._xlws.FILTER($B$2:$B$10000,$B$2:$B$10000&lt;&gt;"")=VALUE(INDEX(IdClientes,MATCH(DHY2,Clientes,0))))</f>
        <v>#VALUE!</v>
      </c>
      <c r="DHZ3" s="28" t="e" cm="1" vm="1">
        <f t="array" ref="DHZ3">_xlfn._xlws.FILTER(Rutas,_xlfn._xlws.FILTER($B$2:$B$10000,$B$2:$B$10000&lt;&gt;"")=VALUE(INDEX(IdClientes,MATCH(DHZ2,Clientes,0))))</f>
        <v>#VALUE!</v>
      </c>
      <c r="DIA3" s="28" t="e" cm="1" vm="1">
        <f t="array" ref="DIA3">_xlfn._xlws.FILTER(Rutas,_xlfn._xlws.FILTER($B$2:$B$10000,$B$2:$B$10000&lt;&gt;"")=VALUE(INDEX(IdClientes,MATCH(DIA2,Clientes,0))))</f>
        <v>#VALUE!</v>
      </c>
      <c r="DIB3" s="28" t="e" cm="1" vm="1">
        <f t="array" ref="DIB3">_xlfn._xlws.FILTER(Rutas,_xlfn._xlws.FILTER($B$2:$B$10000,$B$2:$B$10000&lt;&gt;"")=VALUE(INDEX(IdClientes,MATCH(DIB2,Clientes,0))))</f>
        <v>#VALUE!</v>
      </c>
      <c r="DIC3" s="28" t="e" cm="1" vm="1">
        <f t="array" ref="DIC3">_xlfn._xlws.FILTER(Rutas,_xlfn._xlws.FILTER($B$2:$B$10000,$B$2:$B$10000&lt;&gt;"")=VALUE(INDEX(IdClientes,MATCH(DIC2,Clientes,0))))</f>
        <v>#VALUE!</v>
      </c>
      <c r="DID3" s="28" t="e" cm="1" vm="1">
        <f t="array" ref="DID3">_xlfn._xlws.FILTER(Rutas,_xlfn._xlws.FILTER($B$2:$B$10000,$B$2:$B$10000&lt;&gt;"")=VALUE(INDEX(IdClientes,MATCH(DID2,Clientes,0))))</f>
        <v>#VALUE!</v>
      </c>
      <c r="DIE3" s="28" t="e" cm="1" vm="1">
        <f t="array" ref="DIE3">_xlfn._xlws.FILTER(Rutas,_xlfn._xlws.FILTER($B$2:$B$10000,$B$2:$B$10000&lt;&gt;"")=VALUE(INDEX(IdClientes,MATCH(DIE2,Clientes,0))))</f>
        <v>#VALUE!</v>
      </c>
      <c r="DIF3" s="28" t="e" cm="1" vm="1">
        <f t="array" ref="DIF3">_xlfn._xlws.FILTER(Rutas,_xlfn._xlws.FILTER($B$2:$B$10000,$B$2:$B$10000&lt;&gt;"")=VALUE(INDEX(IdClientes,MATCH(DIF2,Clientes,0))))</f>
        <v>#VALUE!</v>
      </c>
      <c r="DIG3" s="28" t="e" cm="1" vm="1">
        <f t="array" ref="DIG3">_xlfn._xlws.FILTER(Rutas,_xlfn._xlws.FILTER($B$2:$B$10000,$B$2:$B$10000&lt;&gt;"")=VALUE(INDEX(IdClientes,MATCH(DIG2,Clientes,0))))</f>
        <v>#VALUE!</v>
      </c>
      <c r="DIH3" s="28" t="e" cm="1" vm="1">
        <f t="array" ref="DIH3">_xlfn._xlws.FILTER(Rutas,_xlfn._xlws.FILTER($B$2:$B$10000,$B$2:$B$10000&lt;&gt;"")=VALUE(INDEX(IdClientes,MATCH(DIH2,Clientes,0))))</f>
        <v>#VALUE!</v>
      </c>
      <c r="DII3" s="28" t="e" cm="1" vm="1">
        <f t="array" ref="DII3">_xlfn._xlws.FILTER(Rutas,_xlfn._xlws.FILTER($B$2:$B$10000,$B$2:$B$10000&lt;&gt;"")=VALUE(INDEX(IdClientes,MATCH(DII2,Clientes,0))))</f>
        <v>#VALUE!</v>
      </c>
      <c r="DIJ3" s="28" t="e" cm="1" vm="1">
        <f t="array" ref="DIJ3">_xlfn._xlws.FILTER(Rutas,_xlfn._xlws.FILTER($B$2:$B$10000,$B$2:$B$10000&lt;&gt;"")=VALUE(INDEX(IdClientes,MATCH(DIJ2,Clientes,0))))</f>
        <v>#VALUE!</v>
      </c>
      <c r="DIK3" s="28" t="e" cm="1" vm="1">
        <f t="array" ref="DIK3">_xlfn._xlws.FILTER(Rutas,_xlfn._xlws.FILTER($B$2:$B$10000,$B$2:$B$10000&lt;&gt;"")=VALUE(INDEX(IdClientes,MATCH(DIK2,Clientes,0))))</f>
        <v>#VALUE!</v>
      </c>
      <c r="DIL3" s="28" t="e" cm="1" vm="1">
        <f t="array" ref="DIL3">_xlfn._xlws.FILTER(Rutas,_xlfn._xlws.FILTER($B$2:$B$10000,$B$2:$B$10000&lt;&gt;"")=VALUE(INDEX(IdClientes,MATCH(DIL2,Clientes,0))))</f>
        <v>#VALUE!</v>
      </c>
      <c r="DIM3" s="28" t="e" cm="1" vm="1">
        <f t="array" ref="DIM3">_xlfn._xlws.FILTER(Rutas,_xlfn._xlws.FILTER($B$2:$B$10000,$B$2:$B$10000&lt;&gt;"")=VALUE(INDEX(IdClientes,MATCH(DIM2,Clientes,0))))</f>
        <v>#VALUE!</v>
      </c>
      <c r="DIN3" s="28" t="e" cm="1" vm="1">
        <f t="array" ref="DIN3">_xlfn._xlws.FILTER(Rutas,_xlfn._xlws.FILTER($B$2:$B$10000,$B$2:$B$10000&lt;&gt;"")=VALUE(INDEX(IdClientes,MATCH(DIN2,Clientes,0))))</f>
        <v>#VALUE!</v>
      </c>
      <c r="DIO3" s="28" t="e" cm="1" vm="1">
        <f t="array" ref="DIO3">_xlfn._xlws.FILTER(Rutas,_xlfn._xlws.FILTER($B$2:$B$10000,$B$2:$B$10000&lt;&gt;"")=VALUE(INDEX(IdClientes,MATCH(DIO2,Clientes,0))))</f>
        <v>#VALUE!</v>
      </c>
      <c r="DIP3" s="28" t="e" cm="1" vm="1">
        <f t="array" ref="DIP3">_xlfn._xlws.FILTER(Rutas,_xlfn._xlws.FILTER($B$2:$B$10000,$B$2:$B$10000&lt;&gt;"")=VALUE(INDEX(IdClientes,MATCH(DIP2,Clientes,0))))</f>
        <v>#VALUE!</v>
      </c>
      <c r="DIQ3" s="28" t="e" cm="1" vm="1">
        <f t="array" ref="DIQ3">_xlfn._xlws.FILTER(Rutas,_xlfn._xlws.FILTER($B$2:$B$10000,$B$2:$B$10000&lt;&gt;"")=VALUE(INDEX(IdClientes,MATCH(DIQ2,Clientes,0))))</f>
        <v>#VALUE!</v>
      </c>
      <c r="DIR3" s="28" t="e" cm="1" vm="1">
        <f t="array" ref="DIR3">_xlfn._xlws.FILTER(Rutas,_xlfn._xlws.FILTER($B$2:$B$10000,$B$2:$B$10000&lt;&gt;"")=VALUE(INDEX(IdClientes,MATCH(DIR2,Clientes,0))))</f>
        <v>#VALUE!</v>
      </c>
      <c r="DIS3" s="28" t="e" cm="1" vm="1">
        <f t="array" ref="DIS3">_xlfn._xlws.FILTER(Rutas,_xlfn._xlws.FILTER($B$2:$B$10000,$B$2:$B$10000&lt;&gt;"")=VALUE(INDEX(IdClientes,MATCH(DIS2,Clientes,0))))</f>
        <v>#VALUE!</v>
      </c>
      <c r="DIT3" s="28" t="e" cm="1" vm="1">
        <f t="array" ref="DIT3">_xlfn._xlws.FILTER(Rutas,_xlfn._xlws.FILTER($B$2:$B$10000,$B$2:$B$10000&lt;&gt;"")=VALUE(INDEX(IdClientes,MATCH(DIT2,Clientes,0))))</f>
        <v>#VALUE!</v>
      </c>
      <c r="DIU3" s="28" t="e" cm="1" vm="1">
        <f t="array" ref="DIU3">_xlfn._xlws.FILTER(Rutas,_xlfn._xlws.FILTER($B$2:$B$10000,$B$2:$B$10000&lt;&gt;"")=VALUE(INDEX(IdClientes,MATCH(DIU2,Clientes,0))))</f>
        <v>#VALUE!</v>
      </c>
      <c r="DIV3" s="28" t="e" cm="1" vm="1">
        <f t="array" ref="DIV3">_xlfn._xlws.FILTER(Rutas,_xlfn._xlws.FILTER($B$2:$B$10000,$B$2:$B$10000&lt;&gt;"")=VALUE(INDEX(IdClientes,MATCH(DIV2,Clientes,0))))</f>
        <v>#VALUE!</v>
      </c>
      <c r="DIW3" s="28" t="e" cm="1" vm="1">
        <f t="array" ref="DIW3">_xlfn._xlws.FILTER(Rutas,_xlfn._xlws.FILTER($B$2:$B$10000,$B$2:$B$10000&lt;&gt;"")=VALUE(INDEX(IdClientes,MATCH(DIW2,Clientes,0))))</f>
        <v>#VALUE!</v>
      </c>
      <c r="DIX3" s="28" t="e" cm="1" vm="1">
        <f t="array" ref="DIX3">_xlfn._xlws.FILTER(Rutas,_xlfn._xlws.FILTER($B$2:$B$10000,$B$2:$B$10000&lt;&gt;"")=VALUE(INDEX(IdClientes,MATCH(DIX2,Clientes,0))))</f>
        <v>#VALUE!</v>
      </c>
      <c r="DIY3" s="28" t="e" cm="1" vm="1">
        <f t="array" ref="DIY3">_xlfn._xlws.FILTER(Rutas,_xlfn._xlws.FILTER($B$2:$B$10000,$B$2:$B$10000&lt;&gt;"")=VALUE(INDEX(IdClientes,MATCH(DIY2,Clientes,0))))</f>
        <v>#VALUE!</v>
      </c>
      <c r="DIZ3" s="28" t="e" cm="1" vm="1">
        <f t="array" ref="DIZ3">_xlfn._xlws.FILTER(Rutas,_xlfn._xlws.FILTER($B$2:$B$10000,$B$2:$B$10000&lt;&gt;"")=VALUE(INDEX(IdClientes,MATCH(DIZ2,Clientes,0))))</f>
        <v>#VALUE!</v>
      </c>
      <c r="DJA3" s="28" t="e" cm="1" vm="1">
        <f t="array" ref="DJA3">_xlfn._xlws.FILTER(Rutas,_xlfn._xlws.FILTER($B$2:$B$10000,$B$2:$B$10000&lt;&gt;"")=VALUE(INDEX(IdClientes,MATCH(DJA2,Clientes,0))))</f>
        <v>#VALUE!</v>
      </c>
      <c r="DJB3" s="28" t="e" cm="1" vm="1">
        <f t="array" ref="DJB3">_xlfn._xlws.FILTER(Rutas,_xlfn._xlws.FILTER($B$2:$B$10000,$B$2:$B$10000&lt;&gt;"")=VALUE(INDEX(IdClientes,MATCH(DJB2,Clientes,0))))</f>
        <v>#VALUE!</v>
      </c>
      <c r="DJC3" s="28" t="e" cm="1" vm="1">
        <f t="array" ref="DJC3">_xlfn._xlws.FILTER(Rutas,_xlfn._xlws.FILTER($B$2:$B$10000,$B$2:$B$10000&lt;&gt;"")=VALUE(INDEX(IdClientes,MATCH(DJC2,Clientes,0))))</f>
        <v>#VALUE!</v>
      </c>
      <c r="DJD3" s="28" t="e" cm="1" vm="1">
        <f t="array" ref="DJD3">_xlfn._xlws.FILTER(Rutas,_xlfn._xlws.FILTER($B$2:$B$10000,$B$2:$B$10000&lt;&gt;"")=VALUE(INDEX(IdClientes,MATCH(DJD2,Clientes,0))))</f>
        <v>#VALUE!</v>
      </c>
      <c r="DJE3" s="28" t="e" cm="1" vm="1">
        <f t="array" ref="DJE3">_xlfn._xlws.FILTER(Rutas,_xlfn._xlws.FILTER($B$2:$B$10000,$B$2:$B$10000&lt;&gt;"")=VALUE(INDEX(IdClientes,MATCH(DJE2,Clientes,0))))</f>
        <v>#VALUE!</v>
      </c>
      <c r="DJF3" s="28" t="e" cm="1" vm="1">
        <f t="array" ref="DJF3">_xlfn._xlws.FILTER(Rutas,_xlfn._xlws.FILTER($B$2:$B$10000,$B$2:$B$10000&lt;&gt;"")=VALUE(INDEX(IdClientes,MATCH(DJF2,Clientes,0))))</f>
        <v>#VALUE!</v>
      </c>
      <c r="DJG3" s="28" t="e" cm="1" vm="1">
        <f t="array" ref="DJG3">_xlfn._xlws.FILTER(Rutas,_xlfn._xlws.FILTER($B$2:$B$10000,$B$2:$B$10000&lt;&gt;"")=VALUE(INDEX(IdClientes,MATCH(DJG2,Clientes,0))))</f>
        <v>#VALUE!</v>
      </c>
      <c r="DJH3" s="28" t="e" cm="1" vm="1">
        <f t="array" ref="DJH3">_xlfn._xlws.FILTER(Rutas,_xlfn._xlws.FILTER($B$2:$B$10000,$B$2:$B$10000&lt;&gt;"")=VALUE(INDEX(IdClientes,MATCH(DJH2,Clientes,0))))</f>
        <v>#VALUE!</v>
      </c>
      <c r="DJI3" s="28" t="e" cm="1" vm="1">
        <f t="array" ref="DJI3">_xlfn._xlws.FILTER(Rutas,_xlfn._xlws.FILTER($B$2:$B$10000,$B$2:$B$10000&lt;&gt;"")=VALUE(INDEX(IdClientes,MATCH(DJI2,Clientes,0))))</f>
        <v>#VALUE!</v>
      </c>
      <c r="DJJ3" s="28" t="e" cm="1" vm="1">
        <f t="array" ref="DJJ3">_xlfn._xlws.FILTER(Rutas,_xlfn._xlws.FILTER($B$2:$B$10000,$B$2:$B$10000&lt;&gt;"")=VALUE(INDEX(IdClientes,MATCH(DJJ2,Clientes,0))))</f>
        <v>#VALUE!</v>
      </c>
      <c r="DJK3" s="28" t="e" cm="1" vm="1">
        <f t="array" ref="DJK3">_xlfn._xlws.FILTER(Rutas,_xlfn._xlws.FILTER($B$2:$B$10000,$B$2:$B$10000&lt;&gt;"")=VALUE(INDEX(IdClientes,MATCH(DJK2,Clientes,0))))</f>
        <v>#VALUE!</v>
      </c>
      <c r="DJL3" s="28" t="e" cm="1" vm="1">
        <f t="array" ref="DJL3">_xlfn._xlws.FILTER(Rutas,_xlfn._xlws.FILTER($B$2:$B$10000,$B$2:$B$10000&lt;&gt;"")=VALUE(INDEX(IdClientes,MATCH(DJL2,Clientes,0))))</f>
        <v>#VALUE!</v>
      </c>
      <c r="DJM3" s="28" t="e" cm="1" vm="1">
        <f t="array" ref="DJM3">_xlfn._xlws.FILTER(Rutas,_xlfn._xlws.FILTER($B$2:$B$10000,$B$2:$B$10000&lt;&gt;"")=VALUE(INDEX(IdClientes,MATCH(DJM2,Clientes,0))))</f>
        <v>#VALUE!</v>
      </c>
      <c r="DJN3" s="28" t="e" cm="1" vm="1">
        <f t="array" ref="DJN3">_xlfn._xlws.FILTER(Rutas,_xlfn._xlws.FILTER($B$2:$B$10000,$B$2:$B$10000&lt;&gt;"")=VALUE(INDEX(IdClientes,MATCH(DJN2,Clientes,0))))</f>
        <v>#VALUE!</v>
      </c>
      <c r="DJO3" s="28" t="e" cm="1" vm="1">
        <f t="array" ref="DJO3">_xlfn._xlws.FILTER(Rutas,_xlfn._xlws.FILTER($B$2:$B$10000,$B$2:$B$10000&lt;&gt;"")=VALUE(INDEX(IdClientes,MATCH(DJO2,Clientes,0))))</f>
        <v>#VALUE!</v>
      </c>
      <c r="DJP3" s="28" t="e" cm="1" vm="1">
        <f t="array" ref="DJP3">_xlfn._xlws.FILTER(Rutas,_xlfn._xlws.FILTER($B$2:$B$10000,$B$2:$B$10000&lt;&gt;"")=VALUE(INDEX(IdClientes,MATCH(DJP2,Clientes,0))))</f>
        <v>#VALUE!</v>
      </c>
      <c r="DJQ3" s="28" t="e" cm="1" vm="1">
        <f t="array" ref="DJQ3">_xlfn._xlws.FILTER(Rutas,_xlfn._xlws.FILTER($B$2:$B$10000,$B$2:$B$10000&lt;&gt;"")=VALUE(INDEX(IdClientes,MATCH(DJQ2,Clientes,0))))</f>
        <v>#VALUE!</v>
      </c>
      <c r="DJR3" s="28" t="e" cm="1" vm="1">
        <f t="array" ref="DJR3">_xlfn._xlws.FILTER(Rutas,_xlfn._xlws.FILTER($B$2:$B$10000,$B$2:$B$10000&lt;&gt;"")=VALUE(INDEX(IdClientes,MATCH(DJR2,Clientes,0))))</f>
        <v>#VALUE!</v>
      </c>
      <c r="DJS3" s="28" t="e" cm="1" vm="1">
        <f t="array" ref="DJS3">_xlfn._xlws.FILTER(Rutas,_xlfn._xlws.FILTER($B$2:$B$10000,$B$2:$B$10000&lt;&gt;"")=VALUE(INDEX(IdClientes,MATCH(DJS2,Clientes,0))))</f>
        <v>#VALUE!</v>
      </c>
      <c r="DJT3" s="28" t="e" cm="1" vm="1">
        <f t="array" ref="DJT3">_xlfn._xlws.FILTER(Rutas,_xlfn._xlws.FILTER($B$2:$B$10000,$B$2:$B$10000&lt;&gt;"")=VALUE(INDEX(IdClientes,MATCH(DJT2,Clientes,0))))</f>
        <v>#VALUE!</v>
      </c>
      <c r="DJU3" s="28" t="e" cm="1" vm="1">
        <f t="array" ref="DJU3">_xlfn._xlws.FILTER(Rutas,_xlfn._xlws.FILTER($B$2:$B$10000,$B$2:$B$10000&lt;&gt;"")=VALUE(INDEX(IdClientes,MATCH(DJU2,Clientes,0))))</f>
        <v>#VALUE!</v>
      </c>
      <c r="DJV3" s="28" t="e" cm="1" vm="1">
        <f t="array" ref="DJV3">_xlfn._xlws.FILTER(Rutas,_xlfn._xlws.FILTER($B$2:$B$10000,$B$2:$B$10000&lt;&gt;"")=VALUE(INDEX(IdClientes,MATCH(DJV2,Clientes,0))))</f>
        <v>#VALUE!</v>
      </c>
      <c r="DJW3" s="28" t="e" cm="1" vm="1">
        <f t="array" ref="DJW3">_xlfn._xlws.FILTER(Rutas,_xlfn._xlws.FILTER($B$2:$B$10000,$B$2:$B$10000&lt;&gt;"")=VALUE(INDEX(IdClientes,MATCH(DJW2,Clientes,0))))</f>
        <v>#VALUE!</v>
      </c>
      <c r="DJX3" s="28" t="e" cm="1" vm="1">
        <f t="array" ref="DJX3">_xlfn._xlws.FILTER(Rutas,_xlfn._xlws.FILTER($B$2:$B$10000,$B$2:$B$10000&lt;&gt;"")=VALUE(INDEX(IdClientes,MATCH(DJX2,Clientes,0))))</f>
        <v>#VALUE!</v>
      </c>
      <c r="DJY3" s="28" t="e" cm="1" vm="1">
        <f t="array" ref="DJY3">_xlfn._xlws.FILTER(Rutas,_xlfn._xlws.FILTER($B$2:$B$10000,$B$2:$B$10000&lt;&gt;"")=VALUE(INDEX(IdClientes,MATCH(DJY2,Clientes,0))))</f>
        <v>#VALUE!</v>
      </c>
      <c r="DJZ3" s="28" t="e" cm="1" vm="1">
        <f t="array" ref="DJZ3">_xlfn._xlws.FILTER(Rutas,_xlfn._xlws.FILTER($B$2:$B$10000,$B$2:$B$10000&lt;&gt;"")=VALUE(INDEX(IdClientes,MATCH(DJZ2,Clientes,0))))</f>
        <v>#VALUE!</v>
      </c>
      <c r="DKA3" s="28" t="e" cm="1" vm="1">
        <f t="array" ref="DKA3">_xlfn._xlws.FILTER(Rutas,_xlfn._xlws.FILTER($B$2:$B$10000,$B$2:$B$10000&lt;&gt;"")=VALUE(INDEX(IdClientes,MATCH(DKA2,Clientes,0))))</f>
        <v>#VALUE!</v>
      </c>
      <c r="DKB3" s="28" t="e" cm="1" vm="1">
        <f t="array" ref="DKB3">_xlfn._xlws.FILTER(Rutas,_xlfn._xlws.FILTER($B$2:$B$10000,$B$2:$B$10000&lt;&gt;"")=VALUE(INDEX(IdClientes,MATCH(DKB2,Clientes,0))))</f>
        <v>#VALUE!</v>
      </c>
      <c r="DKC3" s="28" t="e" cm="1" vm="1">
        <f t="array" ref="DKC3">_xlfn._xlws.FILTER(Rutas,_xlfn._xlws.FILTER($B$2:$B$10000,$B$2:$B$10000&lt;&gt;"")=VALUE(INDEX(IdClientes,MATCH(DKC2,Clientes,0))))</f>
        <v>#VALUE!</v>
      </c>
      <c r="DKD3" s="28" t="e" cm="1" vm="1">
        <f t="array" ref="DKD3">_xlfn._xlws.FILTER(Rutas,_xlfn._xlws.FILTER($B$2:$B$10000,$B$2:$B$10000&lt;&gt;"")=VALUE(INDEX(IdClientes,MATCH(DKD2,Clientes,0))))</f>
        <v>#VALUE!</v>
      </c>
      <c r="DKE3" s="28" t="e" cm="1" vm="1">
        <f t="array" ref="DKE3">_xlfn._xlws.FILTER(Rutas,_xlfn._xlws.FILTER($B$2:$B$10000,$B$2:$B$10000&lt;&gt;"")=VALUE(INDEX(IdClientes,MATCH(DKE2,Clientes,0))))</f>
        <v>#VALUE!</v>
      </c>
      <c r="DKF3" s="28" t="e" cm="1" vm="1">
        <f t="array" ref="DKF3">_xlfn._xlws.FILTER(Rutas,_xlfn._xlws.FILTER($B$2:$B$10000,$B$2:$B$10000&lt;&gt;"")=VALUE(INDEX(IdClientes,MATCH(DKF2,Clientes,0))))</f>
        <v>#VALUE!</v>
      </c>
      <c r="DKG3" s="28" t="e" cm="1" vm="1">
        <f t="array" ref="DKG3">_xlfn._xlws.FILTER(Rutas,_xlfn._xlws.FILTER($B$2:$B$10000,$B$2:$B$10000&lt;&gt;"")=VALUE(INDEX(IdClientes,MATCH(DKG2,Clientes,0))))</f>
        <v>#VALUE!</v>
      </c>
      <c r="DKH3" s="28" t="e" cm="1" vm="1">
        <f t="array" ref="DKH3">_xlfn._xlws.FILTER(Rutas,_xlfn._xlws.FILTER($B$2:$B$10000,$B$2:$B$10000&lt;&gt;"")=VALUE(INDEX(IdClientes,MATCH(DKH2,Clientes,0))))</f>
        <v>#VALUE!</v>
      </c>
      <c r="DKI3" s="28" t="e" cm="1" vm="1">
        <f t="array" ref="DKI3">_xlfn._xlws.FILTER(Rutas,_xlfn._xlws.FILTER($B$2:$B$10000,$B$2:$B$10000&lt;&gt;"")=VALUE(INDEX(IdClientes,MATCH(DKI2,Clientes,0))))</f>
        <v>#VALUE!</v>
      </c>
      <c r="DKJ3" s="28" t="e" cm="1" vm="1">
        <f t="array" ref="DKJ3">_xlfn._xlws.FILTER(Rutas,_xlfn._xlws.FILTER($B$2:$B$10000,$B$2:$B$10000&lt;&gt;"")=VALUE(INDEX(IdClientes,MATCH(DKJ2,Clientes,0))))</f>
        <v>#VALUE!</v>
      </c>
      <c r="DKK3" s="28" t="e" cm="1" vm="1">
        <f t="array" ref="DKK3">_xlfn._xlws.FILTER(Rutas,_xlfn._xlws.FILTER($B$2:$B$10000,$B$2:$B$10000&lt;&gt;"")=VALUE(INDEX(IdClientes,MATCH(DKK2,Clientes,0))))</f>
        <v>#VALUE!</v>
      </c>
      <c r="DKL3" s="28" t="e" cm="1" vm="1">
        <f t="array" ref="DKL3">_xlfn._xlws.FILTER(Rutas,_xlfn._xlws.FILTER($B$2:$B$10000,$B$2:$B$10000&lt;&gt;"")=VALUE(INDEX(IdClientes,MATCH(DKL2,Clientes,0))))</f>
        <v>#VALUE!</v>
      </c>
      <c r="DKM3" s="28" t="e" cm="1" vm="1">
        <f t="array" ref="DKM3">_xlfn._xlws.FILTER(Rutas,_xlfn._xlws.FILTER($B$2:$B$10000,$B$2:$B$10000&lt;&gt;"")=VALUE(INDEX(IdClientes,MATCH(DKM2,Clientes,0))))</f>
        <v>#VALUE!</v>
      </c>
      <c r="DKN3" s="28" t="e" cm="1" vm="1">
        <f t="array" ref="DKN3">_xlfn._xlws.FILTER(Rutas,_xlfn._xlws.FILTER($B$2:$B$10000,$B$2:$B$10000&lt;&gt;"")=VALUE(INDEX(IdClientes,MATCH(DKN2,Clientes,0))))</f>
        <v>#VALUE!</v>
      </c>
      <c r="DKO3" s="28" t="e" cm="1" vm="1">
        <f t="array" ref="DKO3">_xlfn._xlws.FILTER(Rutas,_xlfn._xlws.FILTER($B$2:$B$10000,$B$2:$B$10000&lt;&gt;"")=VALUE(INDEX(IdClientes,MATCH(DKO2,Clientes,0))))</f>
        <v>#VALUE!</v>
      </c>
      <c r="DKP3" s="28" t="e" cm="1" vm="1">
        <f t="array" ref="DKP3">_xlfn._xlws.FILTER(Rutas,_xlfn._xlws.FILTER($B$2:$B$10000,$B$2:$B$10000&lt;&gt;"")=VALUE(INDEX(IdClientes,MATCH(DKP2,Clientes,0))))</f>
        <v>#VALUE!</v>
      </c>
      <c r="DKQ3" s="28" t="e" cm="1" vm="1">
        <f t="array" ref="DKQ3">_xlfn._xlws.FILTER(Rutas,_xlfn._xlws.FILTER($B$2:$B$10000,$B$2:$B$10000&lt;&gt;"")=VALUE(INDEX(IdClientes,MATCH(DKQ2,Clientes,0))))</f>
        <v>#VALUE!</v>
      </c>
      <c r="DKR3" s="28" t="e" cm="1" vm="1">
        <f t="array" ref="DKR3">_xlfn._xlws.FILTER(Rutas,_xlfn._xlws.FILTER($B$2:$B$10000,$B$2:$B$10000&lt;&gt;"")=VALUE(INDEX(IdClientes,MATCH(DKR2,Clientes,0))))</f>
        <v>#VALUE!</v>
      </c>
      <c r="DKS3" s="28" t="e" cm="1" vm="1">
        <f t="array" ref="DKS3">_xlfn._xlws.FILTER(Rutas,_xlfn._xlws.FILTER($B$2:$B$10000,$B$2:$B$10000&lt;&gt;"")=VALUE(INDEX(IdClientes,MATCH(DKS2,Clientes,0))))</f>
        <v>#VALUE!</v>
      </c>
      <c r="DKT3" s="28" t="e" cm="1" vm="1">
        <f t="array" ref="DKT3">_xlfn._xlws.FILTER(Rutas,_xlfn._xlws.FILTER($B$2:$B$10000,$B$2:$B$10000&lt;&gt;"")=VALUE(INDEX(IdClientes,MATCH(DKT2,Clientes,0))))</f>
        <v>#VALUE!</v>
      </c>
      <c r="DKU3" s="28" t="e" cm="1" vm="1">
        <f t="array" ref="DKU3">_xlfn._xlws.FILTER(Rutas,_xlfn._xlws.FILTER($B$2:$B$10000,$B$2:$B$10000&lt;&gt;"")=VALUE(INDEX(IdClientes,MATCH(DKU2,Clientes,0))))</f>
        <v>#VALUE!</v>
      </c>
      <c r="DKV3" s="28" t="e" cm="1" vm="1">
        <f t="array" ref="DKV3">_xlfn._xlws.FILTER(Rutas,_xlfn._xlws.FILTER($B$2:$B$10000,$B$2:$B$10000&lt;&gt;"")=VALUE(INDEX(IdClientes,MATCH(DKV2,Clientes,0))))</f>
        <v>#VALUE!</v>
      </c>
      <c r="DKW3" s="28" t="e" cm="1" vm="1">
        <f t="array" ref="DKW3">_xlfn._xlws.FILTER(Rutas,_xlfn._xlws.FILTER($B$2:$B$10000,$B$2:$B$10000&lt;&gt;"")=VALUE(INDEX(IdClientes,MATCH(DKW2,Clientes,0))))</f>
        <v>#VALUE!</v>
      </c>
      <c r="DKX3" s="28" t="e" cm="1" vm="1">
        <f t="array" ref="DKX3">_xlfn._xlws.FILTER(Rutas,_xlfn._xlws.FILTER($B$2:$B$10000,$B$2:$B$10000&lt;&gt;"")=VALUE(INDEX(IdClientes,MATCH(DKX2,Clientes,0))))</f>
        <v>#VALUE!</v>
      </c>
      <c r="DKY3" s="28" t="e" cm="1" vm="1">
        <f t="array" ref="DKY3">_xlfn._xlws.FILTER(Rutas,_xlfn._xlws.FILTER($B$2:$B$10000,$B$2:$B$10000&lt;&gt;"")=VALUE(INDEX(IdClientes,MATCH(DKY2,Clientes,0))))</f>
        <v>#VALUE!</v>
      </c>
      <c r="DKZ3" s="28" t="e" cm="1" vm="1">
        <f t="array" ref="DKZ3">_xlfn._xlws.FILTER(Rutas,_xlfn._xlws.FILTER($B$2:$B$10000,$B$2:$B$10000&lt;&gt;"")=VALUE(INDEX(IdClientes,MATCH(DKZ2,Clientes,0))))</f>
        <v>#VALUE!</v>
      </c>
      <c r="DLA3" s="28" t="e" cm="1" vm="1">
        <f t="array" ref="DLA3">_xlfn._xlws.FILTER(Rutas,_xlfn._xlws.FILTER($B$2:$B$10000,$B$2:$B$10000&lt;&gt;"")=VALUE(INDEX(IdClientes,MATCH(DLA2,Clientes,0))))</f>
        <v>#VALUE!</v>
      </c>
      <c r="DLB3" s="28" t="e" cm="1" vm="1">
        <f t="array" ref="DLB3">_xlfn._xlws.FILTER(Rutas,_xlfn._xlws.FILTER($B$2:$B$10000,$B$2:$B$10000&lt;&gt;"")=VALUE(INDEX(IdClientes,MATCH(DLB2,Clientes,0))))</f>
        <v>#VALUE!</v>
      </c>
      <c r="DLC3" s="28" t="e" cm="1" vm="1">
        <f t="array" ref="DLC3">_xlfn._xlws.FILTER(Rutas,_xlfn._xlws.FILTER($B$2:$B$10000,$B$2:$B$10000&lt;&gt;"")=VALUE(INDEX(IdClientes,MATCH(DLC2,Clientes,0))))</f>
        <v>#VALUE!</v>
      </c>
      <c r="DLD3" s="28" t="e" cm="1" vm="1">
        <f t="array" ref="DLD3">_xlfn._xlws.FILTER(Rutas,_xlfn._xlws.FILTER($B$2:$B$10000,$B$2:$B$10000&lt;&gt;"")=VALUE(INDEX(IdClientes,MATCH(DLD2,Clientes,0))))</f>
        <v>#VALUE!</v>
      </c>
      <c r="DLE3" s="28" t="e" cm="1" vm="1">
        <f t="array" ref="DLE3">_xlfn._xlws.FILTER(Rutas,_xlfn._xlws.FILTER($B$2:$B$10000,$B$2:$B$10000&lt;&gt;"")=VALUE(INDEX(IdClientes,MATCH(DLE2,Clientes,0))))</f>
        <v>#VALUE!</v>
      </c>
      <c r="DLF3" s="28" t="e" cm="1" vm="1">
        <f t="array" ref="DLF3">_xlfn._xlws.FILTER(Rutas,_xlfn._xlws.FILTER($B$2:$B$10000,$B$2:$B$10000&lt;&gt;"")=VALUE(INDEX(IdClientes,MATCH(DLF2,Clientes,0))))</f>
        <v>#VALUE!</v>
      </c>
      <c r="DLG3" s="28" t="e" cm="1" vm="1">
        <f t="array" ref="DLG3">_xlfn._xlws.FILTER(Rutas,_xlfn._xlws.FILTER($B$2:$B$10000,$B$2:$B$10000&lt;&gt;"")=VALUE(INDEX(IdClientes,MATCH(DLG2,Clientes,0))))</f>
        <v>#VALUE!</v>
      </c>
      <c r="DLH3" s="28" t="e" cm="1" vm="1">
        <f t="array" ref="DLH3">_xlfn._xlws.FILTER(Rutas,_xlfn._xlws.FILTER($B$2:$B$10000,$B$2:$B$10000&lt;&gt;"")=VALUE(INDEX(IdClientes,MATCH(DLH2,Clientes,0))))</f>
        <v>#VALUE!</v>
      </c>
      <c r="DLI3" s="28" t="e" cm="1" vm="1">
        <f t="array" ref="DLI3">_xlfn._xlws.FILTER(Rutas,_xlfn._xlws.FILTER($B$2:$B$10000,$B$2:$B$10000&lt;&gt;"")=VALUE(INDEX(IdClientes,MATCH(DLI2,Clientes,0))))</f>
        <v>#VALUE!</v>
      </c>
      <c r="DLJ3" s="28" t="e" cm="1" vm="1">
        <f t="array" ref="DLJ3">_xlfn._xlws.FILTER(Rutas,_xlfn._xlws.FILTER($B$2:$B$10000,$B$2:$B$10000&lt;&gt;"")=VALUE(INDEX(IdClientes,MATCH(DLJ2,Clientes,0))))</f>
        <v>#VALUE!</v>
      </c>
      <c r="DLK3" s="28" t="e" cm="1" vm="1">
        <f t="array" ref="DLK3">_xlfn._xlws.FILTER(Rutas,_xlfn._xlws.FILTER($B$2:$B$10000,$B$2:$B$10000&lt;&gt;"")=VALUE(INDEX(IdClientes,MATCH(DLK2,Clientes,0))))</f>
        <v>#VALUE!</v>
      </c>
      <c r="DLL3" s="28" t="e" cm="1" vm="1">
        <f t="array" ref="DLL3">_xlfn._xlws.FILTER(Rutas,_xlfn._xlws.FILTER($B$2:$B$10000,$B$2:$B$10000&lt;&gt;"")=VALUE(INDEX(IdClientes,MATCH(DLL2,Clientes,0))))</f>
        <v>#VALUE!</v>
      </c>
      <c r="DLM3" s="28" t="e" cm="1" vm="1">
        <f t="array" ref="DLM3">_xlfn._xlws.FILTER(Rutas,_xlfn._xlws.FILTER($B$2:$B$10000,$B$2:$B$10000&lt;&gt;"")=VALUE(INDEX(IdClientes,MATCH(DLM2,Clientes,0))))</f>
        <v>#VALUE!</v>
      </c>
      <c r="DLN3" s="28" t="e" cm="1" vm="1">
        <f t="array" ref="DLN3">_xlfn._xlws.FILTER(Rutas,_xlfn._xlws.FILTER($B$2:$B$10000,$B$2:$B$10000&lt;&gt;"")=VALUE(INDEX(IdClientes,MATCH(DLN2,Clientes,0))))</f>
        <v>#VALUE!</v>
      </c>
      <c r="DLO3" s="28" t="e" cm="1" vm="1">
        <f t="array" ref="DLO3">_xlfn._xlws.FILTER(Rutas,_xlfn._xlws.FILTER($B$2:$B$10000,$B$2:$B$10000&lt;&gt;"")=VALUE(INDEX(IdClientes,MATCH(DLO2,Clientes,0))))</f>
        <v>#VALUE!</v>
      </c>
      <c r="DLP3" s="28" t="e" cm="1" vm="1">
        <f t="array" ref="DLP3">_xlfn._xlws.FILTER(Rutas,_xlfn._xlws.FILTER($B$2:$B$10000,$B$2:$B$10000&lt;&gt;"")=VALUE(INDEX(IdClientes,MATCH(DLP2,Clientes,0))))</f>
        <v>#VALUE!</v>
      </c>
      <c r="DLQ3" s="28" t="e" cm="1" vm="1">
        <f t="array" ref="DLQ3">_xlfn._xlws.FILTER(Rutas,_xlfn._xlws.FILTER($B$2:$B$10000,$B$2:$B$10000&lt;&gt;"")=VALUE(INDEX(IdClientes,MATCH(DLQ2,Clientes,0))))</f>
        <v>#VALUE!</v>
      </c>
      <c r="DLR3" s="28" t="e" cm="1" vm="1">
        <f t="array" ref="DLR3">_xlfn._xlws.FILTER(Rutas,_xlfn._xlws.FILTER($B$2:$B$10000,$B$2:$B$10000&lt;&gt;"")=VALUE(INDEX(IdClientes,MATCH(DLR2,Clientes,0))))</f>
        <v>#VALUE!</v>
      </c>
      <c r="DLS3" s="28" t="e" cm="1" vm="1">
        <f t="array" ref="DLS3">_xlfn._xlws.FILTER(Rutas,_xlfn._xlws.FILTER($B$2:$B$10000,$B$2:$B$10000&lt;&gt;"")=VALUE(INDEX(IdClientes,MATCH(DLS2,Clientes,0))))</f>
        <v>#VALUE!</v>
      </c>
      <c r="DLT3" s="28" t="e" cm="1" vm="1">
        <f t="array" ref="DLT3">_xlfn._xlws.FILTER(Rutas,_xlfn._xlws.FILTER($B$2:$B$10000,$B$2:$B$10000&lt;&gt;"")=VALUE(INDEX(IdClientes,MATCH(DLT2,Clientes,0))))</f>
        <v>#VALUE!</v>
      </c>
      <c r="DLU3" s="28" t="e" cm="1" vm="1">
        <f t="array" ref="DLU3">_xlfn._xlws.FILTER(Rutas,_xlfn._xlws.FILTER($B$2:$B$10000,$B$2:$B$10000&lt;&gt;"")=VALUE(INDEX(IdClientes,MATCH(DLU2,Clientes,0))))</f>
        <v>#VALUE!</v>
      </c>
      <c r="DLV3" s="28" t="e" cm="1" vm="1">
        <f t="array" ref="DLV3">_xlfn._xlws.FILTER(Rutas,_xlfn._xlws.FILTER($B$2:$B$10000,$B$2:$B$10000&lt;&gt;"")=VALUE(INDEX(IdClientes,MATCH(DLV2,Clientes,0))))</f>
        <v>#VALUE!</v>
      </c>
      <c r="DLW3" s="28" t="e" cm="1" vm="1">
        <f t="array" ref="DLW3">_xlfn._xlws.FILTER(Rutas,_xlfn._xlws.FILTER($B$2:$B$10000,$B$2:$B$10000&lt;&gt;"")=VALUE(INDEX(IdClientes,MATCH(DLW2,Clientes,0))))</f>
        <v>#VALUE!</v>
      </c>
      <c r="DLX3" s="28" t="e" cm="1" vm="1">
        <f t="array" ref="DLX3">_xlfn._xlws.FILTER(Rutas,_xlfn._xlws.FILTER($B$2:$B$10000,$B$2:$B$10000&lt;&gt;"")=VALUE(INDEX(IdClientes,MATCH(DLX2,Clientes,0))))</f>
        <v>#VALUE!</v>
      </c>
      <c r="DLY3" s="28" t="e" cm="1" vm="1">
        <f t="array" ref="DLY3">_xlfn._xlws.FILTER(Rutas,_xlfn._xlws.FILTER($B$2:$B$10000,$B$2:$B$10000&lt;&gt;"")=VALUE(INDEX(IdClientes,MATCH(DLY2,Clientes,0))))</f>
        <v>#VALUE!</v>
      </c>
      <c r="DLZ3" s="28" t="e" cm="1" vm="1">
        <f t="array" ref="DLZ3">_xlfn._xlws.FILTER(Rutas,_xlfn._xlws.FILTER($B$2:$B$10000,$B$2:$B$10000&lt;&gt;"")=VALUE(INDEX(IdClientes,MATCH(DLZ2,Clientes,0))))</f>
        <v>#VALUE!</v>
      </c>
      <c r="DMA3" s="28" t="e" cm="1" vm="1">
        <f t="array" ref="DMA3">_xlfn._xlws.FILTER(Rutas,_xlfn._xlws.FILTER($B$2:$B$10000,$B$2:$B$10000&lt;&gt;"")=VALUE(INDEX(IdClientes,MATCH(DMA2,Clientes,0))))</f>
        <v>#VALUE!</v>
      </c>
      <c r="DMB3" s="28" t="e" cm="1" vm="1">
        <f t="array" ref="DMB3">_xlfn._xlws.FILTER(Rutas,_xlfn._xlws.FILTER($B$2:$B$10000,$B$2:$B$10000&lt;&gt;"")=VALUE(INDEX(IdClientes,MATCH(DMB2,Clientes,0))))</f>
        <v>#VALUE!</v>
      </c>
      <c r="DMC3" s="28" t="e" cm="1" vm="1">
        <f t="array" ref="DMC3">_xlfn._xlws.FILTER(Rutas,_xlfn._xlws.FILTER($B$2:$B$10000,$B$2:$B$10000&lt;&gt;"")=VALUE(INDEX(IdClientes,MATCH(DMC2,Clientes,0))))</f>
        <v>#VALUE!</v>
      </c>
      <c r="DMD3" s="28" t="e" cm="1" vm="1">
        <f t="array" ref="DMD3">_xlfn._xlws.FILTER(Rutas,_xlfn._xlws.FILTER($B$2:$B$10000,$B$2:$B$10000&lt;&gt;"")=VALUE(INDEX(IdClientes,MATCH(DMD2,Clientes,0))))</f>
        <v>#VALUE!</v>
      </c>
      <c r="DME3" s="28" t="e" cm="1" vm="1">
        <f t="array" ref="DME3">_xlfn._xlws.FILTER(Rutas,_xlfn._xlws.FILTER($B$2:$B$10000,$B$2:$B$10000&lt;&gt;"")=VALUE(INDEX(IdClientes,MATCH(DME2,Clientes,0))))</f>
        <v>#VALUE!</v>
      </c>
      <c r="DMF3" s="28" t="e" cm="1" vm="1">
        <f t="array" ref="DMF3">_xlfn._xlws.FILTER(Rutas,_xlfn._xlws.FILTER($B$2:$B$10000,$B$2:$B$10000&lt;&gt;"")=VALUE(INDEX(IdClientes,MATCH(DMF2,Clientes,0))))</f>
        <v>#VALUE!</v>
      </c>
      <c r="DMG3" s="28" t="e" cm="1" vm="1">
        <f t="array" ref="DMG3">_xlfn._xlws.FILTER(Rutas,_xlfn._xlws.FILTER($B$2:$B$10000,$B$2:$B$10000&lt;&gt;"")=VALUE(INDEX(IdClientes,MATCH(DMG2,Clientes,0))))</f>
        <v>#VALUE!</v>
      </c>
      <c r="DMH3" s="28" t="e" cm="1" vm="1">
        <f t="array" ref="DMH3">_xlfn._xlws.FILTER(Rutas,_xlfn._xlws.FILTER($B$2:$B$10000,$B$2:$B$10000&lt;&gt;"")=VALUE(INDEX(IdClientes,MATCH(DMH2,Clientes,0))))</f>
        <v>#VALUE!</v>
      </c>
      <c r="DMI3" s="28" t="e" cm="1" vm="1">
        <f t="array" ref="DMI3">_xlfn._xlws.FILTER(Rutas,_xlfn._xlws.FILTER($B$2:$B$10000,$B$2:$B$10000&lt;&gt;"")=VALUE(INDEX(IdClientes,MATCH(DMI2,Clientes,0))))</f>
        <v>#VALUE!</v>
      </c>
      <c r="DMJ3" s="28" t="e" cm="1" vm="1">
        <f t="array" ref="DMJ3">_xlfn._xlws.FILTER(Rutas,_xlfn._xlws.FILTER($B$2:$B$10000,$B$2:$B$10000&lt;&gt;"")=VALUE(INDEX(IdClientes,MATCH(DMJ2,Clientes,0))))</f>
        <v>#VALUE!</v>
      </c>
      <c r="DMK3" s="28" t="e" cm="1" vm="1">
        <f t="array" ref="DMK3">_xlfn._xlws.FILTER(Rutas,_xlfn._xlws.FILTER($B$2:$B$10000,$B$2:$B$10000&lt;&gt;"")=VALUE(INDEX(IdClientes,MATCH(DMK2,Clientes,0))))</f>
        <v>#VALUE!</v>
      </c>
      <c r="DML3" s="28" t="e" cm="1" vm="1">
        <f t="array" ref="DML3">_xlfn._xlws.FILTER(Rutas,_xlfn._xlws.FILTER($B$2:$B$10000,$B$2:$B$10000&lt;&gt;"")=VALUE(INDEX(IdClientes,MATCH(DML2,Clientes,0))))</f>
        <v>#VALUE!</v>
      </c>
      <c r="DMM3" s="28" t="e" cm="1" vm="1">
        <f t="array" ref="DMM3">_xlfn._xlws.FILTER(Rutas,_xlfn._xlws.FILTER($B$2:$B$10000,$B$2:$B$10000&lt;&gt;"")=VALUE(INDEX(IdClientes,MATCH(DMM2,Clientes,0))))</f>
        <v>#VALUE!</v>
      </c>
      <c r="DMN3" s="28" t="e" cm="1" vm="1">
        <f t="array" ref="DMN3">_xlfn._xlws.FILTER(Rutas,_xlfn._xlws.FILTER($B$2:$B$10000,$B$2:$B$10000&lt;&gt;"")=VALUE(INDEX(IdClientes,MATCH(DMN2,Clientes,0))))</f>
        <v>#VALUE!</v>
      </c>
      <c r="DMO3" s="28" t="e" cm="1" vm="1">
        <f t="array" ref="DMO3">_xlfn._xlws.FILTER(Rutas,_xlfn._xlws.FILTER($B$2:$B$10000,$B$2:$B$10000&lt;&gt;"")=VALUE(INDEX(IdClientes,MATCH(DMO2,Clientes,0))))</f>
        <v>#VALUE!</v>
      </c>
      <c r="DMP3" s="28" t="e" cm="1" vm="1">
        <f t="array" ref="DMP3">_xlfn._xlws.FILTER(Rutas,_xlfn._xlws.FILTER($B$2:$B$10000,$B$2:$B$10000&lt;&gt;"")=VALUE(INDEX(IdClientes,MATCH(DMP2,Clientes,0))))</f>
        <v>#VALUE!</v>
      </c>
      <c r="DMQ3" s="28" t="e" cm="1" vm="1">
        <f t="array" ref="DMQ3">_xlfn._xlws.FILTER(Rutas,_xlfn._xlws.FILTER($B$2:$B$10000,$B$2:$B$10000&lt;&gt;"")=VALUE(INDEX(IdClientes,MATCH(DMQ2,Clientes,0))))</f>
        <v>#VALUE!</v>
      </c>
      <c r="DMR3" s="28" t="e" cm="1" vm="1">
        <f t="array" ref="DMR3">_xlfn._xlws.FILTER(Rutas,_xlfn._xlws.FILTER($B$2:$B$10000,$B$2:$B$10000&lt;&gt;"")=VALUE(INDEX(IdClientes,MATCH(DMR2,Clientes,0))))</f>
        <v>#VALUE!</v>
      </c>
      <c r="DMS3" s="28" t="e" cm="1" vm="1">
        <f t="array" ref="DMS3">_xlfn._xlws.FILTER(Rutas,_xlfn._xlws.FILTER($B$2:$B$10000,$B$2:$B$10000&lt;&gt;"")=VALUE(INDEX(IdClientes,MATCH(DMS2,Clientes,0))))</f>
        <v>#VALUE!</v>
      </c>
      <c r="DMT3" s="28" t="e" cm="1" vm="1">
        <f t="array" ref="DMT3">_xlfn._xlws.FILTER(Rutas,_xlfn._xlws.FILTER($B$2:$B$10000,$B$2:$B$10000&lt;&gt;"")=VALUE(INDEX(IdClientes,MATCH(DMT2,Clientes,0))))</f>
        <v>#VALUE!</v>
      </c>
      <c r="DMU3" s="28" t="e" cm="1" vm="1">
        <f t="array" ref="DMU3">_xlfn._xlws.FILTER(Rutas,_xlfn._xlws.FILTER($B$2:$B$10000,$B$2:$B$10000&lt;&gt;"")=VALUE(INDEX(IdClientes,MATCH(DMU2,Clientes,0))))</f>
        <v>#VALUE!</v>
      </c>
      <c r="DMV3" s="28" t="e" cm="1" vm="1">
        <f t="array" ref="DMV3">_xlfn._xlws.FILTER(Rutas,_xlfn._xlws.FILTER($B$2:$B$10000,$B$2:$B$10000&lt;&gt;"")=VALUE(INDEX(IdClientes,MATCH(DMV2,Clientes,0))))</f>
        <v>#VALUE!</v>
      </c>
      <c r="DMW3" s="28" t="e" cm="1" vm="1">
        <f t="array" ref="DMW3">_xlfn._xlws.FILTER(Rutas,_xlfn._xlws.FILTER($B$2:$B$10000,$B$2:$B$10000&lt;&gt;"")=VALUE(INDEX(IdClientes,MATCH(DMW2,Clientes,0))))</f>
        <v>#VALUE!</v>
      </c>
      <c r="DMX3" s="28" t="e" cm="1" vm="1">
        <f t="array" ref="DMX3">_xlfn._xlws.FILTER(Rutas,_xlfn._xlws.FILTER($B$2:$B$10000,$B$2:$B$10000&lt;&gt;"")=VALUE(INDEX(IdClientes,MATCH(DMX2,Clientes,0))))</f>
        <v>#VALUE!</v>
      </c>
      <c r="DMY3" s="28" t="e" cm="1" vm="1">
        <f t="array" ref="DMY3">_xlfn._xlws.FILTER(Rutas,_xlfn._xlws.FILTER($B$2:$B$10000,$B$2:$B$10000&lt;&gt;"")=VALUE(INDEX(IdClientes,MATCH(DMY2,Clientes,0))))</f>
        <v>#VALUE!</v>
      </c>
      <c r="DMZ3" s="28" t="e" cm="1" vm="1">
        <f t="array" ref="DMZ3">_xlfn._xlws.FILTER(Rutas,_xlfn._xlws.FILTER($B$2:$B$10000,$B$2:$B$10000&lt;&gt;"")=VALUE(INDEX(IdClientes,MATCH(DMZ2,Clientes,0))))</f>
        <v>#VALUE!</v>
      </c>
      <c r="DNA3" s="28" t="e" cm="1" vm="1">
        <f t="array" ref="DNA3">_xlfn._xlws.FILTER(Rutas,_xlfn._xlws.FILTER($B$2:$B$10000,$B$2:$B$10000&lt;&gt;"")=VALUE(INDEX(IdClientes,MATCH(DNA2,Clientes,0))))</f>
        <v>#VALUE!</v>
      </c>
      <c r="DNB3" s="28" t="e" cm="1" vm="1">
        <f t="array" ref="DNB3">_xlfn._xlws.FILTER(Rutas,_xlfn._xlws.FILTER($B$2:$B$10000,$B$2:$B$10000&lt;&gt;"")=VALUE(INDEX(IdClientes,MATCH(DNB2,Clientes,0))))</f>
        <v>#VALUE!</v>
      </c>
      <c r="DNC3" s="28" t="e" cm="1" vm="1">
        <f t="array" ref="DNC3">_xlfn._xlws.FILTER(Rutas,_xlfn._xlws.FILTER($B$2:$B$10000,$B$2:$B$10000&lt;&gt;"")=VALUE(INDEX(IdClientes,MATCH(DNC2,Clientes,0))))</f>
        <v>#VALUE!</v>
      </c>
      <c r="DND3" s="28" t="e" cm="1" vm="1">
        <f t="array" ref="DND3">_xlfn._xlws.FILTER(Rutas,_xlfn._xlws.FILTER($B$2:$B$10000,$B$2:$B$10000&lt;&gt;"")=VALUE(INDEX(IdClientes,MATCH(DND2,Clientes,0))))</f>
        <v>#VALUE!</v>
      </c>
      <c r="DNE3" s="28" t="e" cm="1" vm="1">
        <f t="array" ref="DNE3">_xlfn._xlws.FILTER(Rutas,_xlfn._xlws.FILTER($B$2:$B$10000,$B$2:$B$10000&lt;&gt;"")=VALUE(INDEX(IdClientes,MATCH(DNE2,Clientes,0))))</f>
        <v>#VALUE!</v>
      </c>
      <c r="DNF3" s="28" t="e" cm="1" vm="1">
        <f t="array" ref="DNF3">_xlfn._xlws.FILTER(Rutas,_xlfn._xlws.FILTER($B$2:$B$10000,$B$2:$B$10000&lt;&gt;"")=VALUE(INDEX(IdClientes,MATCH(DNF2,Clientes,0))))</f>
        <v>#VALUE!</v>
      </c>
      <c r="DNG3" s="28" t="e" cm="1" vm="1">
        <f t="array" ref="DNG3">_xlfn._xlws.FILTER(Rutas,_xlfn._xlws.FILTER($B$2:$B$10000,$B$2:$B$10000&lt;&gt;"")=VALUE(INDEX(IdClientes,MATCH(DNG2,Clientes,0))))</f>
        <v>#VALUE!</v>
      </c>
      <c r="DNH3" s="28" t="e" cm="1" vm="1">
        <f t="array" ref="DNH3">_xlfn._xlws.FILTER(Rutas,_xlfn._xlws.FILTER($B$2:$B$10000,$B$2:$B$10000&lt;&gt;"")=VALUE(INDEX(IdClientes,MATCH(DNH2,Clientes,0))))</f>
        <v>#VALUE!</v>
      </c>
      <c r="DNI3" s="28" t="e" cm="1" vm="1">
        <f t="array" ref="DNI3">_xlfn._xlws.FILTER(Rutas,_xlfn._xlws.FILTER($B$2:$B$10000,$B$2:$B$10000&lt;&gt;"")=VALUE(INDEX(IdClientes,MATCH(DNI2,Clientes,0))))</f>
        <v>#VALUE!</v>
      </c>
      <c r="DNJ3" s="28" t="e" cm="1" vm="1">
        <f t="array" ref="DNJ3">_xlfn._xlws.FILTER(Rutas,_xlfn._xlws.FILTER($B$2:$B$10000,$B$2:$B$10000&lt;&gt;"")=VALUE(INDEX(IdClientes,MATCH(DNJ2,Clientes,0))))</f>
        <v>#VALUE!</v>
      </c>
      <c r="DNK3" s="28" t="e" cm="1" vm="1">
        <f t="array" ref="DNK3">_xlfn._xlws.FILTER(Rutas,_xlfn._xlws.FILTER($B$2:$B$10000,$B$2:$B$10000&lt;&gt;"")=VALUE(INDEX(IdClientes,MATCH(DNK2,Clientes,0))))</f>
        <v>#VALUE!</v>
      </c>
      <c r="DNL3" s="28" t="e" cm="1" vm="1">
        <f t="array" ref="DNL3">_xlfn._xlws.FILTER(Rutas,_xlfn._xlws.FILTER($B$2:$B$10000,$B$2:$B$10000&lt;&gt;"")=VALUE(INDEX(IdClientes,MATCH(DNL2,Clientes,0))))</f>
        <v>#VALUE!</v>
      </c>
      <c r="DNM3" s="28" t="e" cm="1" vm="1">
        <f t="array" ref="DNM3">_xlfn._xlws.FILTER(Rutas,_xlfn._xlws.FILTER($B$2:$B$10000,$B$2:$B$10000&lt;&gt;"")=VALUE(INDEX(IdClientes,MATCH(DNM2,Clientes,0))))</f>
        <v>#VALUE!</v>
      </c>
      <c r="DNN3" s="28" t="e" cm="1" vm="1">
        <f t="array" ref="DNN3">_xlfn._xlws.FILTER(Rutas,_xlfn._xlws.FILTER($B$2:$B$10000,$B$2:$B$10000&lt;&gt;"")=VALUE(INDEX(IdClientes,MATCH(DNN2,Clientes,0))))</f>
        <v>#VALUE!</v>
      </c>
      <c r="DNO3" s="28" t="e" cm="1" vm="1">
        <f t="array" ref="DNO3">_xlfn._xlws.FILTER(Rutas,_xlfn._xlws.FILTER($B$2:$B$10000,$B$2:$B$10000&lt;&gt;"")=VALUE(INDEX(IdClientes,MATCH(DNO2,Clientes,0))))</f>
        <v>#VALUE!</v>
      </c>
      <c r="DNP3" s="28" t="e" cm="1" vm="1">
        <f t="array" ref="DNP3">_xlfn._xlws.FILTER(Rutas,_xlfn._xlws.FILTER($B$2:$B$10000,$B$2:$B$10000&lt;&gt;"")=VALUE(INDEX(IdClientes,MATCH(DNP2,Clientes,0))))</f>
        <v>#VALUE!</v>
      </c>
      <c r="DNQ3" s="28" t="e" cm="1" vm="1">
        <f t="array" ref="DNQ3">_xlfn._xlws.FILTER(Rutas,_xlfn._xlws.FILTER($B$2:$B$10000,$B$2:$B$10000&lt;&gt;"")=VALUE(INDEX(IdClientes,MATCH(DNQ2,Clientes,0))))</f>
        <v>#VALUE!</v>
      </c>
      <c r="DNR3" s="28" t="e" cm="1" vm="1">
        <f t="array" ref="DNR3">_xlfn._xlws.FILTER(Rutas,_xlfn._xlws.FILTER($B$2:$B$10000,$B$2:$B$10000&lt;&gt;"")=VALUE(INDEX(IdClientes,MATCH(DNR2,Clientes,0))))</f>
        <v>#VALUE!</v>
      </c>
      <c r="DNS3" s="28" t="e" cm="1" vm="1">
        <f t="array" ref="DNS3">_xlfn._xlws.FILTER(Rutas,_xlfn._xlws.FILTER($B$2:$B$10000,$B$2:$B$10000&lt;&gt;"")=VALUE(INDEX(IdClientes,MATCH(DNS2,Clientes,0))))</f>
        <v>#VALUE!</v>
      </c>
      <c r="DNT3" s="28" t="e" cm="1" vm="1">
        <f t="array" ref="DNT3">_xlfn._xlws.FILTER(Rutas,_xlfn._xlws.FILTER($B$2:$B$10000,$B$2:$B$10000&lt;&gt;"")=VALUE(INDEX(IdClientes,MATCH(DNT2,Clientes,0))))</f>
        <v>#VALUE!</v>
      </c>
      <c r="DNU3" s="28" t="e" cm="1" vm="1">
        <f t="array" ref="DNU3">_xlfn._xlws.FILTER(Rutas,_xlfn._xlws.FILTER($B$2:$B$10000,$B$2:$B$10000&lt;&gt;"")=VALUE(INDEX(IdClientes,MATCH(DNU2,Clientes,0))))</f>
        <v>#VALUE!</v>
      </c>
      <c r="DNV3" s="28" t="e" cm="1" vm="1">
        <f t="array" ref="DNV3">_xlfn._xlws.FILTER(Rutas,_xlfn._xlws.FILTER($B$2:$B$10000,$B$2:$B$10000&lt;&gt;"")=VALUE(INDEX(IdClientes,MATCH(DNV2,Clientes,0))))</f>
        <v>#VALUE!</v>
      </c>
      <c r="DNW3" s="28" t="e" cm="1" vm="1">
        <f t="array" ref="DNW3">_xlfn._xlws.FILTER(Rutas,_xlfn._xlws.FILTER($B$2:$B$10000,$B$2:$B$10000&lt;&gt;"")=VALUE(INDEX(IdClientes,MATCH(DNW2,Clientes,0))))</f>
        <v>#VALUE!</v>
      </c>
      <c r="DNX3" s="28" t="e" cm="1" vm="1">
        <f t="array" ref="DNX3">_xlfn._xlws.FILTER(Rutas,_xlfn._xlws.FILTER($B$2:$B$10000,$B$2:$B$10000&lt;&gt;"")=VALUE(INDEX(IdClientes,MATCH(DNX2,Clientes,0))))</f>
        <v>#VALUE!</v>
      </c>
      <c r="DNY3" s="28" t="e" cm="1" vm="1">
        <f t="array" ref="DNY3">_xlfn._xlws.FILTER(Rutas,_xlfn._xlws.FILTER($B$2:$B$10000,$B$2:$B$10000&lt;&gt;"")=VALUE(INDEX(IdClientes,MATCH(DNY2,Clientes,0))))</f>
        <v>#VALUE!</v>
      </c>
      <c r="DNZ3" s="28" t="e" cm="1" vm="1">
        <f t="array" ref="DNZ3">_xlfn._xlws.FILTER(Rutas,_xlfn._xlws.FILTER($B$2:$B$10000,$B$2:$B$10000&lt;&gt;"")=VALUE(INDEX(IdClientes,MATCH(DNZ2,Clientes,0))))</f>
        <v>#VALUE!</v>
      </c>
      <c r="DOA3" s="28" t="e" cm="1" vm="1">
        <f t="array" ref="DOA3">_xlfn._xlws.FILTER(Rutas,_xlfn._xlws.FILTER($B$2:$B$10000,$B$2:$B$10000&lt;&gt;"")=VALUE(INDEX(IdClientes,MATCH(DOA2,Clientes,0))))</f>
        <v>#VALUE!</v>
      </c>
      <c r="DOB3" s="28" t="e" cm="1" vm="1">
        <f t="array" ref="DOB3">_xlfn._xlws.FILTER(Rutas,_xlfn._xlws.FILTER($B$2:$B$10000,$B$2:$B$10000&lt;&gt;"")=VALUE(INDEX(IdClientes,MATCH(DOB2,Clientes,0))))</f>
        <v>#VALUE!</v>
      </c>
      <c r="DOC3" s="28" t="e" cm="1" vm="1">
        <f t="array" ref="DOC3">_xlfn._xlws.FILTER(Rutas,_xlfn._xlws.FILTER($B$2:$B$10000,$B$2:$B$10000&lt;&gt;"")=VALUE(INDEX(IdClientes,MATCH(DOC2,Clientes,0))))</f>
        <v>#VALUE!</v>
      </c>
      <c r="DOD3" s="28" t="e" cm="1" vm="1">
        <f t="array" ref="DOD3">_xlfn._xlws.FILTER(Rutas,_xlfn._xlws.FILTER($B$2:$B$10000,$B$2:$B$10000&lt;&gt;"")=VALUE(INDEX(IdClientes,MATCH(DOD2,Clientes,0))))</f>
        <v>#VALUE!</v>
      </c>
      <c r="DOE3" s="28" t="e" cm="1" vm="1">
        <f t="array" ref="DOE3">_xlfn._xlws.FILTER(Rutas,_xlfn._xlws.FILTER($B$2:$B$10000,$B$2:$B$10000&lt;&gt;"")=VALUE(INDEX(IdClientes,MATCH(DOE2,Clientes,0))))</f>
        <v>#VALUE!</v>
      </c>
      <c r="DOF3" s="28" t="e" cm="1" vm="1">
        <f t="array" ref="DOF3">_xlfn._xlws.FILTER(Rutas,_xlfn._xlws.FILTER($B$2:$B$10000,$B$2:$B$10000&lt;&gt;"")=VALUE(INDEX(IdClientes,MATCH(DOF2,Clientes,0))))</f>
        <v>#VALUE!</v>
      </c>
      <c r="DOG3" s="28" t="e" cm="1" vm="1">
        <f t="array" ref="DOG3">_xlfn._xlws.FILTER(Rutas,_xlfn._xlws.FILTER($B$2:$B$10000,$B$2:$B$10000&lt;&gt;"")=VALUE(INDEX(IdClientes,MATCH(DOG2,Clientes,0))))</f>
        <v>#VALUE!</v>
      </c>
      <c r="DOH3" s="28" t="e" cm="1" vm="1">
        <f t="array" ref="DOH3">_xlfn._xlws.FILTER(Rutas,_xlfn._xlws.FILTER($B$2:$B$10000,$B$2:$B$10000&lt;&gt;"")=VALUE(INDEX(IdClientes,MATCH(DOH2,Clientes,0))))</f>
        <v>#VALUE!</v>
      </c>
      <c r="DOI3" s="28" t="e" cm="1" vm="1">
        <f t="array" ref="DOI3">_xlfn._xlws.FILTER(Rutas,_xlfn._xlws.FILTER($B$2:$B$10000,$B$2:$B$10000&lt;&gt;"")=VALUE(INDEX(IdClientes,MATCH(DOI2,Clientes,0))))</f>
        <v>#VALUE!</v>
      </c>
      <c r="DOJ3" s="28" t="e" cm="1" vm="1">
        <f t="array" ref="DOJ3">_xlfn._xlws.FILTER(Rutas,_xlfn._xlws.FILTER($B$2:$B$10000,$B$2:$B$10000&lt;&gt;"")=VALUE(INDEX(IdClientes,MATCH(DOJ2,Clientes,0))))</f>
        <v>#VALUE!</v>
      </c>
      <c r="DOK3" s="28" t="e" cm="1" vm="1">
        <f t="array" ref="DOK3">_xlfn._xlws.FILTER(Rutas,_xlfn._xlws.FILTER($B$2:$B$10000,$B$2:$B$10000&lt;&gt;"")=VALUE(INDEX(IdClientes,MATCH(DOK2,Clientes,0))))</f>
        <v>#VALUE!</v>
      </c>
      <c r="DOL3" s="28" t="e" cm="1" vm="1">
        <f t="array" ref="DOL3">_xlfn._xlws.FILTER(Rutas,_xlfn._xlws.FILTER($B$2:$B$10000,$B$2:$B$10000&lt;&gt;"")=VALUE(INDEX(IdClientes,MATCH(DOL2,Clientes,0))))</f>
        <v>#VALUE!</v>
      </c>
      <c r="DOM3" s="28" t="e" cm="1" vm="1">
        <f t="array" ref="DOM3">_xlfn._xlws.FILTER(Rutas,_xlfn._xlws.FILTER($B$2:$B$10000,$B$2:$B$10000&lt;&gt;"")=VALUE(INDEX(IdClientes,MATCH(DOM2,Clientes,0))))</f>
        <v>#VALUE!</v>
      </c>
      <c r="DON3" s="28" t="e" cm="1" vm="1">
        <f t="array" ref="DON3">_xlfn._xlws.FILTER(Rutas,_xlfn._xlws.FILTER($B$2:$B$10000,$B$2:$B$10000&lt;&gt;"")=VALUE(INDEX(IdClientes,MATCH(DON2,Clientes,0))))</f>
        <v>#VALUE!</v>
      </c>
      <c r="DOO3" s="28" t="e" cm="1" vm="1">
        <f t="array" ref="DOO3">_xlfn._xlws.FILTER(Rutas,_xlfn._xlws.FILTER($B$2:$B$10000,$B$2:$B$10000&lt;&gt;"")=VALUE(INDEX(IdClientes,MATCH(DOO2,Clientes,0))))</f>
        <v>#VALUE!</v>
      </c>
      <c r="DOP3" s="28" t="e" cm="1" vm="1">
        <f t="array" ref="DOP3">_xlfn._xlws.FILTER(Rutas,_xlfn._xlws.FILTER($B$2:$B$10000,$B$2:$B$10000&lt;&gt;"")=VALUE(INDEX(IdClientes,MATCH(DOP2,Clientes,0))))</f>
        <v>#VALUE!</v>
      </c>
      <c r="DOQ3" s="28" t="e" cm="1" vm="1">
        <f t="array" ref="DOQ3">_xlfn._xlws.FILTER(Rutas,_xlfn._xlws.FILTER($B$2:$B$10000,$B$2:$B$10000&lt;&gt;"")=VALUE(INDEX(IdClientes,MATCH(DOQ2,Clientes,0))))</f>
        <v>#VALUE!</v>
      </c>
      <c r="DOR3" s="28" t="e" cm="1" vm="1">
        <f t="array" ref="DOR3">_xlfn._xlws.FILTER(Rutas,_xlfn._xlws.FILTER($B$2:$B$10000,$B$2:$B$10000&lt;&gt;"")=VALUE(INDEX(IdClientes,MATCH(DOR2,Clientes,0))))</f>
        <v>#VALUE!</v>
      </c>
      <c r="DOS3" s="28" t="e" cm="1" vm="1">
        <f t="array" ref="DOS3">_xlfn._xlws.FILTER(Rutas,_xlfn._xlws.FILTER($B$2:$B$10000,$B$2:$B$10000&lt;&gt;"")=VALUE(INDEX(IdClientes,MATCH(DOS2,Clientes,0))))</f>
        <v>#VALUE!</v>
      </c>
      <c r="DOT3" s="28" t="e" cm="1" vm="1">
        <f t="array" ref="DOT3">_xlfn._xlws.FILTER(Rutas,_xlfn._xlws.FILTER($B$2:$B$10000,$B$2:$B$10000&lt;&gt;"")=VALUE(INDEX(IdClientes,MATCH(DOT2,Clientes,0))))</f>
        <v>#VALUE!</v>
      </c>
      <c r="DOU3" s="28" t="e" cm="1" vm="1">
        <f t="array" ref="DOU3">_xlfn._xlws.FILTER(Rutas,_xlfn._xlws.FILTER($B$2:$B$10000,$B$2:$B$10000&lt;&gt;"")=VALUE(INDEX(IdClientes,MATCH(DOU2,Clientes,0))))</f>
        <v>#VALUE!</v>
      </c>
      <c r="DOV3" s="28" t="e" cm="1" vm="1">
        <f t="array" ref="DOV3">_xlfn._xlws.FILTER(Rutas,_xlfn._xlws.FILTER($B$2:$B$10000,$B$2:$B$10000&lt;&gt;"")=VALUE(INDEX(IdClientes,MATCH(DOV2,Clientes,0))))</f>
        <v>#VALUE!</v>
      </c>
      <c r="DOW3" s="28" t="e" cm="1" vm="1">
        <f t="array" ref="DOW3">_xlfn._xlws.FILTER(Rutas,_xlfn._xlws.FILTER($B$2:$B$10000,$B$2:$B$10000&lt;&gt;"")=VALUE(INDEX(IdClientes,MATCH(DOW2,Clientes,0))))</f>
        <v>#VALUE!</v>
      </c>
      <c r="DOX3" s="28" t="e" cm="1" vm="1">
        <f t="array" ref="DOX3">_xlfn._xlws.FILTER(Rutas,_xlfn._xlws.FILTER($B$2:$B$10000,$B$2:$B$10000&lt;&gt;"")=VALUE(INDEX(IdClientes,MATCH(DOX2,Clientes,0))))</f>
        <v>#VALUE!</v>
      </c>
      <c r="DOY3" s="28" t="e" cm="1" vm="1">
        <f t="array" ref="DOY3">_xlfn._xlws.FILTER(Rutas,_xlfn._xlws.FILTER($B$2:$B$10000,$B$2:$B$10000&lt;&gt;"")=VALUE(INDEX(IdClientes,MATCH(DOY2,Clientes,0))))</f>
        <v>#VALUE!</v>
      </c>
      <c r="DOZ3" s="28" t="e" cm="1" vm="1">
        <f t="array" ref="DOZ3">_xlfn._xlws.FILTER(Rutas,_xlfn._xlws.FILTER($B$2:$B$10000,$B$2:$B$10000&lt;&gt;"")=VALUE(INDEX(IdClientes,MATCH(DOZ2,Clientes,0))))</f>
        <v>#VALUE!</v>
      </c>
      <c r="DPA3" s="28" t="e" cm="1" vm="1">
        <f t="array" ref="DPA3">_xlfn._xlws.FILTER(Rutas,_xlfn._xlws.FILTER($B$2:$B$10000,$B$2:$B$10000&lt;&gt;"")=VALUE(INDEX(IdClientes,MATCH(DPA2,Clientes,0))))</f>
        <v>#VALUE!</v>
      </c>
      <c r="DPB3" s="28" t="e" cm="1" vm="1">
        <f t="array" ref="DPB3">_xlfn._xlws.FILTER(Rutas,_xlfn._xlws.FILTER($B$2:$B$10000,$B$2:$B$10000&lt;&gt;"")=VALUE(INDEX(IdClientes,MATCH(DPB2,Clientes,0))))</f>
        <v>#VALUE!</v>
      </c>
      <c r="DPC3" s="28" t="e" cm="1" vm="1">
        <f t="array" ref="DPC3">_xlfn._xlws.FILTER(Rutas,_xlfn._xlws.FILTER($B$2:$B$10000,$B$2:$B$10000&lt;&gt;"")=VALUE(INDEX(IdClientes,MATCH(DPC2,Clientes,0))))</f>
        <v>#VALUE!</v>
      </c>
      <c r="DPD3" s="28" t="e" cm="1" vm="1">
        <f t="array" ref="DPD3">_xlfn._xlws.FILTER(Rutas,_xlfn._xlws.FILTER($B$2:$B$10000,$B$2:$B$10000&lt;&gt;"")=VALUE(INDEX(IdClientes,MATCH(DPD2,Clientes,0))))</f>
        <v>#VALUE!</v>
      </c>
      <c r="DPE3" s="28" t="e" cm="1" vm="1">
        <f t="array" ref="DPE3">_xlfn._xlws.FILTER(Rutas,_xlfn._xlws.FILTER($B$2:$B$10000,$B$2:$B$10000&lt;&gt;"")=VALUE(INDEX(IdClientes,MATCH(DPE2,Clientes,0))))</f>
        <v>#VALUE!</v>
      </c>
      <c r="DPF3" s="28" t="e" cm="1" vm="1">
        <f t="array" ref="DPF3">_xlfn._xlws.FILTER(Rutas,_xlfn._xlws.FILTER($B$2:$B$10000,$B$2:$B$10000&lt;&gt;"")=VALUE(INDEX(IdClientes,MATCH(DPF2,Clientes,0))))</f>
        <v>#VALUE!</v>
      </c>
      <c r="DPG3" s="28" t="e" cm="1" vm="1">
        <f t="array" ref="DPG3">_xlfn._xlws.FILTER(Rutas,_xlfn._xlws.FILTER($B$2:$B$10000,$B$2:$B$10000&lt;&gt;"")=VALUE(INDEX(IdClientes,MATCH(DPG2,Clientes,0))))</f>
        <v>#VALUE!</v>
      </c>
      <c r="DPH3" s="28" t="e" cm="1" vm="1">
        <f t="array" ref="DPH3">_xlfn._xlws.FILTER(Rutas,_xlfn._xlws.FILTER($B$2:$B$10000,$B$2:$B$10000&lt;&gt;"")=VALUE(INDEX(IdClientes,MATCH(DPH2,Clientes,0))))</f>
        <v>#VALUE!</v>
      </c>
      <c r="DPI3" s="28" t="e" cm="1" vm="1">
        <f t="array" ref="DPI3">_xlfn._xlws.FILTER(Rutas,_xlfn._xlws.FILTER($B$2:$B$10000,$B$2:$B$10000&lt;&gt;"")=VALUE(INDEX(IdClientes,MATCH(DPI2,Clientes,0))))</f>
        <v>#VALUE!</v>
      </c>
      <c r="DPJ3" s="28" t="e" cm="1" vm="1">
        <f t="array" ref="DPJ3">_xlfn._xlws.FILTER(Rutas,_xlfn._xlws.FILTER($B$2:$B$10000,$B$2:$B$10000&lt;&gt;"")=VALUE(INDEX(IdClientes,MATCH(DPJ2,Clientes,0))))</f>
        <v>#VALUE!</v>
      </c>
      <c r="DPK3" s="28" t="e" cm="1" vm="1">
        <f t="array" ref="DPK3">_xlfn._xlws.FILTER(Rutas,_xlfn._xlws.FILTER($B$2:$B$10000,$B$2:$B$10000&lt;&gt;"")=VALUE(INDEX(IdClientes,MATCH(DPK2,Clientes,0))))</f>
        <v>#VALUE!</v>
      </c>
      <c r="DPL3" s="28" t="e" cm="1" vm="1">
        <f t="array" ref="DPL3">_xlfn._xlws.FILTER(Rutas,_xlfn._xlws.FILTER($B$2:$B$10000,$B$2:$B$10000&lt;&gt;"")=VALUE(INDEX(IdClientes,MATCH(DPL2,Clientes,0))))</f>
        <v>#VALUE!</v>
      </c>
      <c r="DPM3" s="28" t="e" cm="1" vm="1">
        <f t="array" ref="DPM3">_xlfn._xlws.FILTER(Rutas,_xlfn._xlws.FILTER($B$2:$B$10000,$B$2:$B$10000&lt;&gt;"")=VALUE(INDEX(IdClientes,MATCH(DPM2,Clientes,0))))</f>
        <v>#VALUE!</v>
      </c>
      <c r="DPN3" s="28" t="e" cm="1" vm="1">
        <f t="array" ref="DPN3">_xlfn._xlws.FILTER(Rutas,_xlfn._xlws.FILTER($B$2:$B$10000,$B$2:$B$10000&lt;&gt;"")=VALUE(INDEX(IdClientes,MATCH(DPN2,Clientes,0))))</f>
        <v>#VALUE!</v>
      </c>
      <c r="DPO3" s="28" t="e" cm="1" vm="1">
        <f t="array" ref="DPO3">_xlfn._xlws.FILTER(Rutas,_xlfn._xlws.FILTER($B$2:$B$10000,$B$2:$B$10000&lt;&gt;"")=VALUE(INDEX(IdClientes,MATCH(DPO2,Clientes,0))))</f>
        <v>#VALUE!</v>
      </c>
      <c r="DPP3" s="28" t="e" cm="1" vm="1">
        <f t="array" ref="DPP3">_xlfn._xlws.FILTER(Rutas,_xlfn._xlws.FILTER($B$2:$B$10000,$B$2:$B$10000&lt;&gt;"")=VALUE(INDEX(IdClientes,MATCH(DPP2,Clientes,0))))</f>
        <v>#VALUE!</v>
      </c>
      <c r="DPQ3" s="28" t="e" cm="1" vm="1">
        <f t="array" ref="DPQ3">_xlfn._xlws.FILTER(Rutas,_xlfn._xlws.FILTER($B$2:$B$10000,$B$2:$B$10000&lt;&gt;"")=VALUE(INDEX(IdClientes,MATCH(DPQ2,Clientes,0))))</f>
        <v>#VALUE!</v>
      </c>
      <c r="DPR3" s="28" t="e" cm="1" vm="1">
        <f t="array" ref="DPR3">_xlfn._xlws.FILTER(Rutas,_xlfn._xlws.FILTER($B$2:$B$10000,$B$2:$B$10000&lt;&gt;"")=VALUE(INDEX(IdClientes,MATCH(DPR2,Clientes,0))))</f>
        <v>#VALUE!</v>
      </c>
      <c r="DPS3" s="28" t="e" cm="1" vm="1">
        <f t="array" ref="DPS3">_xlfn._xlws.FILTER(Rutas,_xlfn._xlws.FILTER($B$2:$B$10000,$B$2:$B$10000&lt;&gt;"")=VALUE(INDEX(IdClientes,MATCH(DPS2,Clientes,0))))</f>
        <v>#VALUE!</v>
      </c>
      <c r="DPT3" s="28" t="e" cm="1" vm="1">
        <f t="array" ref="DPT3">_xlfn._xlws.FILTER(Rutas,_xlfn._xlws.FILTER($B$2:$B$10000,$B$2:$B$10000&lt;&gt;"")=VALUE(INDEX(IdClientes,MATCH(DPT2,Clientes,0))))</f>
        <v>#VALUE!</v>
      </c>
      <c r="DPU3" s="28" t="e" cm="1" vm="1">
        <f t="array" ref="DPU3">_xlfn._xlws.FILTER(Rutas,_xlfn._xlws.FILTER($B$2:$B$10000,$B$2:$B$10000&lt;&gt;"")=VALUE(INDEX(IdClientes,MATCH(DPU2,Clientes,0))))</f>
        <v>#VALUE!</v>
      </c>
      <c r="DPV3" s="28" t="e" cm="1" vm="1">
        <f t="array" ref="DPV3">_xlfn._xlws.FILTER(Rutas,_xlfn._xlws.FILTER($B$2:$B$10000,$B$2:$B$10000&lt;&gt;"")=VALUE(INDEX(IdClientes,MATCH(DPV2,Clientes,0))))</f>
        <v>#VALUE!</v>
      </c>
      <c r="DPW3" s="28" t="e" cm="1" vm="1">
        <f t="array" ref="DPW3">_xlfn._xlws.FILTER(Rutas,_xlfn._xlws.FILTER($B$2:$B$10000,$B$2:$B$10000&lt;&gt;"")=VALUE(INDEX(IdClientes,MATCH(DPW2,Clientes,0))))</f>
        <v>#VALUE!</v>
      </c>
      <c r="DPX3" s="28" t="e" cm="1" vm="1">
        <f t="array" ref="DPX3">_xlfn._xlws.FILTER(Rutas,_xlfn._xlws.FILTER($B$2:$B$10000,$B$2:$B$10000&lt;&gt;"")=VALUE(INDEX(IdClientes,MATCH(DPX2,Clientes,0))))</f>
        <v>#VALUE!</v>
      </c>
      <c r="DPY3" s="28" t="e" cm="1" vm="1">
        <f t="array" ref="DPY3">_xlfn._xlws.FILTER(Rutas,_xlfn._xlws.FILTER($B$2:$B$10000,$B$2:$B$10000&lt;&gt;"")=VALUE(INDEX(IdClientes,MATCH(DPY2,Clientes,0))))</f>
        <v>#VALUE!</v>
      </c>
      <c r="DPZ3" s="28" t="e" cm="1" vm="1">
        <f t="array" ref="DPZ3">_xlfn._xlws.FILTER(Rutas,_xlfn._xlws.FILTER($B$2:$B$10000,$B$2:$B$10000&lt;&gt;"")=VALUE(INDEX(IdClientes,MATCH(DPZ2,Clientes,0))))</f>
        <v>#VALUE!</v>
      </c>
      <c r="DQA3" s="28" t="e" cm="1" vm="1">
        <f t="array" ref="DQA3">_xlfn._xlws.FILTER(Rutas,_xlfn._xlws.FILTER($B$2:$B$10000,$B$2:$B$10000&lt;&gt;"")=VALUE(INDEX(IdClientes,MATCH(DQA2,Clientes,0))))</f>
        <v>#VALUE!</v>
      </c>
      <c r="DQB3" s="28" t="e" cm="1" vm="1">
        <f t="array" ref="DQB3">_xlfn._xlws.FILTER(Rutas,_xlfn._xlws.FILTER($B$2:$B$10000,$B$2:$B$10000&lt;&gt;"")=VALUE(INDEX(IdClientes,MATCH(DQB2,Clientes,0))))</f>
        <v>#VALUE!</v>
      </c>
      <c r="DQC3" s="28" t="e" cm="1" vm="1">
        <f t="array" ref="DQC3">_xlfn._xlws.FILTER(Rutas,_xlfn._xlws.FILTER($B$2:$B$10000,$B$2:$B$10000&lt;&gt;"")=VALUE(INDEX(IdClientes,MATCH(DQC2,Clientes,0))))</f>
        <v>#VALUE!</v>
      </c>
      <c r="DQD3" s="28" t="e" cm="1" vm="1">
        <f t="array" ref="DQD3">_xlfn._xlws.FILTER(Rutas,_xlfn._xlws.FILTER($B$2:$B$10000,$B$2:$B$10000&lt;&gt;"")=VALUE(INDEX(IdClientes,MATCH(DQD2,Clientes,0))))</f>
        <v>#VALUE!</v>
      </c>
      <c r="DQE3" s="28" t="e" cm="1" vm="1">
        <f t="array" ref="DQE3">_xlfn._xlws.FILTER(Rutas,_xlfn._xlws.FILTER($B$2:$B$10000,$B$2:$B$10000&lt;&gt;"")=VALUE(INDEX(IdClientes,MATCH(DQE2,Clientes,0))))</f>
        <v>#VALUE!</v>
      </c>
      <c r="DQF3" s="28" t="e" cm="1" vm="1">
        <f t="array" ref="DQF3">_xlfn._xlws.FILTER(Rutas,_xlfn._xlws.FILTER($B$2:$B$10000,$B$2:$B$10000&lt;&gt;"")=VALUE(INDEX(IdClientes,MATCH(DQF2,Clientes,0))))</f>
        <v>#VALUE!</v>
      </c>
      <c r="DQG3" s="28" t="e" cm="1" vm="1">
        <f t="array" ref="DQG3">_xlfn._xlws.FILTER(Rutas,_xlfn._xlws.FILTER($B$2:$B$10000,$B$2:$B$10000&lt;&gt;"")=VALUE(INDEX(IdClientes,MATCH(DQG2,Clientes,0))))</f>
        <v>#VALUE!</v>
      </c>
      <c r="DQH3" s="28" t="e" cm="1" vm="1">
        <f t="array" ref="DQH3">_xlfn._xlws.FILTER(Rutas,_xlfn._xlws.FILTER($B$2:$B$10000,$B$2:$B$10000&lt;&gt;"")=VALUE(INDEX(IdClientes,MATCH(DQH2,Clientes,0))))</f>
        <v>#VALUE!</v>
      </c>
      <c r="DQI3" s="28" t="e" cm="1" vm="1">
        <f t="array" ref="DQI3">_xlfn._xlws.FILTER(Rutas,_xlfn._xlws.FILTER($B$2:$B$10000,$B$2:$B$10000&lt;&gt;"")=VALUE(INDEX(IdClientes,MATCH(DQI2,Clientes,0))))</f>
        <v>#VALUE!</v>
      </c>
      <c r="DQJ3" s="28" t="e" cm="1" vm="1">
        <f t="array" ref="DQJ3">_xlfn._xlws.FILTER(Rutas,_xlfn._xlws.FILTER($B$2:$B$10000,$B$2:$B$10000&lt;&gt;"")=VALUE(INDEX(IdClientes,MATCH(DQJ2,Clientes,0))))</f>
        <v>#VALUE!</v>
      </c>
      <c r="DQK3" s="28" t="e" cm="1" vm="1">
        <f t="array" ref="DQK3">_xlfn._xlws.FILTER(Rutas,_xlfn._xlws.FILTER($B$2:$B$10000,$B$2:$B$10000&lt;&gt;"")=VALUE(INDEX(IdClientes,MATCH(DQK2,Clientes,0))))</f>
        <v>#VALUE!</v>
      </c>
      <c r="DQL3" s="28" t="e" cm="1" vm="1">
        <f t="array" ref="DQL3">_xlfn._xlws.FILTER(Rutas,_xlfn._xlws.FILTER($B$2:$B$10000,$B$2:$B$10000&lt;&gt;"")=VALUE(INDEX(IdClientes,MATCH(DQL2,Clientes,0))))</f>
        <v>#VALUE!</v>
      </c>
      <c r="DQM3" s="28" t="e" cm="1" vm="1">
        <f t="array" ref="DQM3">_xlfn._xlws.FILTER(Rutas,_xlfn._xlws.FILTER($B$2:$B$10000,$B$2:$B$10000&lt;&gt;"")=VALUE(INDEX(IdClientes,MATCH(DQM2,Clientes,0))))</f>
        <v>#VALUE!</v>
      </c>
      <c r="DQN3" s="28" t="e" cm="1" vm="1">
        <f t="array" ref="DQN3">_xlfn._xlws.FILTER(Rutas,_xlfn._xlws.FILTER($B$2:$B$10000,$B$2:$B$10000&lt;&gt;"")=VALUE(INDEX(IdClientes,MATCH(DQN2,Clientes,0))))</f>
        <v>#VALUE!</v>
      </c>
      <c r="DQO3" s="28" t="e" cm="1" vm="1">
        <f t="array" ref="DQO3">_xlfn._xlws.FILTER(Rutas,_xlfn._xlws.FILTER($B$2:$B$10000,$B$2:$B$10000&lt;&gt;"")=VALUE(INDEX(IdClientes,MATCH(DQO2,Clientes,0))))</f>
        <v>#VALUE!</v>
      </c>
      <c r="DQP3" s="28" t="e" cm="1" vm="1">
        <f t="array" ref="DQP3">_xlfn._xlws.FILTER(Rutas,_xlfn._xlws.FILTER($B$2:$B$10000,$B$2:$B$10000&lt;&gt;"")=VALUE(INDEX(IdClientes,MATCH(DQP2,Clientes,0))))</f>
        <v>#VALUE!</v>
      </c>
      <c r="DQQ3" s="28" t="e" cm="1" vm="1">
        <f t="array" ref="DQQ3">_xlfn._xlws.FILTER(Rutas,_xlfn._xlws.FILTER($B$2:$B$10000,$B$2:$B$10000&lt;&gt;"")=VALUE(INDEX(IdClientes,MATCH(DQQ2,Clientes,0))))</f>
        <v>#VALUE!</v>
      </c>
      <c r="DQR3" s="28" t="e" cm="1" vm="1">
        <f t="array" ref="DQR3">_xlfn._xlws.FILTER(Rutas,_xlfn._xlws.FILTER($B$2:$B$10000,$B$2:$B$10000&lt;&gt;"")=VALUE(INDEX(IdClientes,MATCH(DQR2,Clientes,0))))</f>
        <v>#VALUE!</v>
      </c>
      <c r="DQS3" s="28" t="e" cm="1" vm="1">
        <f t="array" ref="DQS3">_xlfn._xlws.FILTER(Rutas,_xlfn._xlws.FILTER($B$2:$B$10000,$B$2:$B$10000&lt;&gt;"")=VALUE(INDEX(IdClientes,MATCH(DQS2,Clientes,0))))</f>
        <v>#VALUE!</v>
      </c>
      <c r="DQT3" s="28" t="e" cm="1" vm="1">
        <f t="array" ref="DQT3">_xlfn._xlws.FILTER(Rutas,_xlfn._xlws.FILTER($B$2:$B$10000,$B$2:$B$10000&lt;&gt;"")=VALUE(INDEX(IdClientes,MATCH(DQT2,Clientes,0))))</f>
        <v>#VALUE!</v>
      </c>
      <c r="DQU3" s="28" t="e" cm="1" vm="1">
        <f t="array" ref="DQU3">_xlfn._xlws.FILTER(Rutas,_xlfn._xlws.FILTER($B$2:$B$10000,$B$2:$B$10000&lt;&gt;"")=VALUE(INDEX(IdClientes,MATCH(DQU2,Clientes,0))))</f>
        <v>#VALUE!</v>
      </c>
      <c r="DQV3" s="28" t="e" cm="1" vm="1">
        <f t="array" ref="DQV3">_xlfn._xlws.FILTER(Rutas,_xlfn._xlws.FILTER($B$2:$B$10000,$B$2:$B$10000&lt;&gt;"")=VALUE(INDEX(IdClientes,MATCH(DQV2,Clientes,0))))</f>
        <v>#VALUE!</v>
      </c>
      <c r="DQW3" s="28" t="e" cm="1" vm="1">
        <f t="array" ref="DQW3">_xlfn._xlws.FILTER(Rutas,_xlfn._xlws.FILTER($B$2:$B$10000,$B$2:$B$10000&lt;&gt;"")=VALUE(INDEX(IdClientes,MATCH(DQW2,Clientes,0))))</f>
        <v>#VALUE!</v>
      </c>
      <c r="DQX3" s="28" t="e" cm="1" vm="1">
        <f t="array" ref="DQX3">_xlfn._xlws.FILTER(Rutas,_xlfn._xlws.FILTER($B$2:$B$10000,$B$2:$B$10000&lt;&gt;"")=VALUE(INDEX(IdClientes,MATCH(DQX2,Clientes,0))))</f>
        <v>#VALUE!</v>
      </c>
      <c r="DQY3" s="28" t="e" cm="1" vm="1">
        <f t="array" ref="DQY3">_xlfn._xlws.FILTER(Rutas,_xlfn._xlws.FILTER($B$2:$B$10000,$B$2:$B$10000&lt;&gt;"")=VALUE(INDEX(IdClientes,MATCH(DQY2,Clientes,0))))</f>
        <v>#VALUE!</v>
      </c>
      <c r="DQZ3" s="28" t="e" cm="1" vm="1">
        <f t="array" ref="DQZ3">_xlfn._xlws.FILTER(Rutas,_xlfn._xlws.FILTER($B$2:$B$10000,$B$2:$B$10000&lt;&gt;"")=VALUE(INDEX(IdClientes,MATCH(DQZ2,Clientes,0))))</f>
        <v>#VALUE!</v>
      </c>
      <c r="DRA3" s="28" t="e" cm="1" vm="1">
        <f t="array" ref="DRA3">_xlfn._xlws.FILTER(Rutas,_xlfn._xlws.FILTER($B$2:$B$10000,$B$2:$B$10000&lt;&gt;"")=VALUE(INDEX(IdClientes,MATCH(DRA2,Clientes,0))))</f>
        <v>#VALUE!</v>
      </c>
      <c r="DRB3" s="28" t="e" cm="1" vm="1">
        <f t="array" ref="DRB3">_xlfn._xlws.FILTER(Rutas,_xlfn._xlws.FILTER($B$2:$B$10000,$B$2:$B$10000&lt;&gt;"")=VALUE(INDEX(IdClientes,MATCH(DRB2,Clientes,0))))</f>
        <v>#VALUE!</v>
      </c>
      <c r="DRC3" s="28" t="e" cm="1" vm="1">
        <f t="array" ref="DRC3">_xlfn._xlws.FILTER(Rutas,_xlfn._xlws.FILTER($B$2:$B$10000,$B$2:$B$10000&lt;&gt;"")=VALUE(INDEX(IdClientes,MATCH(DRC2,Clientes,0))))</f>
        <v>#VALUE!</v>
      </c>
      <c r="DRD3" s="28" t="e" cm="1" vm="1">
        <f t="array" ref="DRD3">_xlfn._xlws.FILTER(Rutas,_xlfn._xlws.FILTER($B$2:$B$10000,$B$2:$B$10000&lt;&gt;"")=VALUE(INDEX(IdClientes,MATCH(DRD2,Clientes,0))))</f>
        <v>#VALUE!</v>
      </c>
      <c r="DRE3" s="28" t="e" cm="1" vm="1">
        <f t="array" ref="DRE3">_xlfn._xlws.FILTER(Rutas,_xlfn._xlws.FILTER($B$2:$B$10000,$B$2:$B$10000&lt;&gt;"")=VALUE(INDEX(IdClientes,MATCH(DRE2,Clientes,0))))</f>
        <v>#VALUE!</v>
      </c>
      <c r="DRF3" s="28" t="e" cm="1" vm="1">
        <f t="array" ref="DRF3">_xlfn._xlws.FILTER(Rutas,_xlfn._xlws.FILTER($B$2:$B$10000,$B$2:$B$10000&lt;&gt;"")=VALUE(INDEX(IdClientes,MATCH(DRF2,Clientes,0))))</f>
        <v>#VALUE!</v>
      </c>
      <c r="DRG3" s="28" t="e" cm="1" vm="1">
        <f t="array" ref="DRG3">_xlfn._xlws.FILTER(Rutas,_xlfn._xlws.FILTER($B$2:$B$10000,$B$2:$B$10000&lt;&gt;"")=VALUE(INDEX(IdClientes,MATCH(DRG2,Clientes,0))))</f>
        <v>#VALUE!</v>
      </c>
      <c r="DRH3" s="28" t="e" cm="1" vm="1">
        <f t="array" ref="DRH3">_xlfn._xlws.FILTER(Rutas,_xlfn._xlws.FILTER($B$2:$B$10000,$B$2:$B$10000&lt;&gt;"")=VALUE(INDEX(IdClientes,MATCH(DRH2,Clientes,0))))</f>
        <v>#VALUE!</v>
      </c>
      <c r="DRI3" s="28" t="e" cm="1" vm="1">
        <f t="array" ref="DRI3">_xlfn._xlws.FILTER(Rutas,_xlfn._xlws.FILTER($B$2:$B$10000,$B$2:$B$10000&lt;&gt;"")=VALUE(INDEX(IdClientes,MATCH(DRI2,Clientes,0))))</f>
        <v>#VALUE!</v>
      </c>
      <c r="DRJ3" s="28" t="e" cm="1" vm="1">
        <f t="array" ref="DRJ3">_xlfn._xlws.FILTER(Rutas,_xlfn._xlws.FILTER($B$2:$B$10000,$B$2:$B$10000&lt;&gt;"")=VALUE(INDEX(IdClientes,MATCH(DRJ2,Clientes,0))))</f>
        <v>#VALUE!</v>
      </c>
      <c r="DRK3" s="28" t="e" cm="1" vm="1">
        <f t="array" ref="DRK3">_xlfn._xlws.FILTER(Rutas,_xlfn._xlws.FILTER($B$2:$B$10000,$B$2:$B$10000&lt;&gt;"")=VALUE(INDEX(IdClientes,MATCH(DRK2,Clientes,0))))</f>
        <v>#VALUE!</v>
      </c>
      <c r="DRL3" s="28" t="e" cm="1" vm="1">
        <f t="array" ref="DRL3">_xlfn._xlws.FILTER(Rutas,_xlfn._xlws.FILTER($B$2:$B$10000,$B$2:$B$10000&lt;&gt;"")=VALUE(INDEX(IdClientes,MATCH(DRL2,Clientes,0))))</f>
        <v>#VALUE!</v>
      </c>
      <c r="DRM3" s="28" t="e" cm="1" vm="1">
        <f t="array" ref="DRM3">_xlfn._xlws.FILTER(Rutas,_xlfn._xlws.FILTER($B$2:$B$10000,$B$2:$B$10000&lt;&gt;"")=VALUE(INDEX(IdClientes,MATCH(DRM2,Clientes,0))))</f>
        <v>#VALUE!</v>
      </c>
      <c r="DRN3" s="28" t="e" cm="1" vm="1">
        <f t="array" ref="DRN3">_xlfn._xlws.FILTER(Rutas,_xlfn._xlws.FILTER($B$2:$B$10000,$B$2:$B$10000&lt;&gt;"")=VALUE(INDEX(IdClientes,MATCH(DRN2,Clientes,0))))</f>
        <v>#VALUE!</v>
      </c>
      <c r="DRO3" s="28" t="e" cm="1" vm="1">
        <f t="array" ref="DRO3">_xlfn._xlws.FILTER(Rutas,_xlfn._xlws.FILTER($B$2:$B$10000,$B$2:$B$10000&lt;&gt;"")=VALUE(INDEX(IdClientes,MATCH(DRO2,Clientes,0))))</f>
        <v>#VALUE!</v>
      </c>
      <c r="DRP3" s="28" t="e" cm="1" vm="1">
        <f t="array" ref="DRP3">_xlfn._xlws.FILTER(Rutas,_xlfn._xlws.FILTER($B$2:$B$10000,$B$2:$B$10000&lt;&gt;"")=VALUE(INDEX(IdClientes,MATCH(DRP2,Clientes,0))))</f>
        <v>#VALUE!</v>
      </c>
      <c r="DRQ3" s="28" t="e" cm="1" vm="1">
        <f t="array" ref="DRQ3">_xlfn._xlws.FILTER(Rutas,_xlfn._xlws.FILTER($B$2:$B$10000,$B$2:$B$10000&lt;&gt;"")=VALUE(INDEX(IdClientes,MATCH(DRQ2,Clientes,0))))</f>
        <v>#VALUE!</v>
      </c>
      <c r="DRR3" s="28" t="e" cm="1" vm="1">
        <f t="array" ref="DRR3">_xlfn._xlws.FILTER(Rutas,_xlfn._xlws.FILTER($B$2:$B$10000,$B$2:$B$10000&lt;&gt;"")=VALUE(INDEX(IdClientes,MATCH(DRR2,Clientes,0))))</f>
        <v>#VALUE!</v>
      </c>
      <c r="DRS3" s="28" t="e" cm="1" vm="1">
        <f t="array" ref="DRS3">_xlfn._xlws.FILTER(Rutas,_xlfn._xlws.FILTER($B$2:$B$10000,$B$2:$B$10000&lt;&gt;"")=VALUE(INDEX(IdClientes,MATCH(DRS2,Clientes,0))))</f>
        <v>#VALUE!</v>
      </c>
      <c r="DRT3" s="28" t="e" cm="1" vm="1">
        <f t="array" ref="DRT3">_xlfn._xlws.FILTER(Rutas,_xlfn._xlws.FILTER($B$2:$B$10000,$B$2:$B$10000&lt;&gt;"")=VALUE(INDEX(IdClientes,MATCH(DRT2,Clientes,0))))</f>
        <v>#VALUE!</v>
      </c>
      <c r="DRU3" s="28" t="e" cm="1" vm="1">
        <f t="array" ref="DRU3">_xlfn._xlws.FILTER(Rutas,_xlfn._xlws.FILTER($B$2:$B$10000,$B$2:$B$10000&lt;&gt;"")=VALUE(INDEX(IdClientes,MATCH(DRU2,Clientes,0))))</f>
        <v>#VALUE!</v>
      </c>
      <c r="DRV3" s="28" t="e" cm="1" vm="1">
        <f t="array" ref="DRV3">_xlfn._xlws.FILTER(Rutas,_xlfn._xlws.FILTER($B$2:$B$10000,$B$2:$B$10000&lt;&gt;"")=VALUE(INDEX(IdClientes,MATCH(DRV2,Clientes,0))))</f>
        <v>#VALUE!</v>
      </c>
      <c r="DRW3" s="28" t="e" cm="1" vm="1">
        <f t="array" ref="DRW3">_xlfn._xlws.FILTER(Rutas,_xlfn._xlws.FILTER($B$2:$B$10000,$B$2:$B$10000&lt;&gt;"")=VALUE(INDEX(IdClientes,MATCH(DRW2,Clientes,0))))</f>
        <v>#VALUE!</v>
      </c>
      <c r="DRX3" s="28" t="e" cm="1" vm="1">
        <f t="array" ref="DRX3">_xlfn._xlws.FILTER(Rutas,_xlfn._xlws.FILTER($B$2:$B$10000,$B$2:$B$10000&lt;&gt;"")=VALUE(INDEX(IdClientes,MATCH(DRX2,Clientes,0))))</f>
        <v>#VALUE!</v>
      </c>
      <c r="DRY3" s="28" t="e" cm="1" vm="1">
        <f t="array" ref="DRY3">_xlfn._xlws.FILTER(Rutas,_xlfn._xlws.FILTER($B$2:$B$10000,$B$2:$B$10000&lt;&gt;"")=VALUE(INDEX(IdClientes,MATCH(DRY2,Clientes,0))))</f>
        <v>#VALUE!</v>
      </c>
      <c r="DRZ3" s="28" t="e" cm="1" vm="1">
        <f t="array" ref="DRZ3">_xlfn._xlws.FILTER(Rutas,_xlfn._xlws.FILTER($B$2:$B$10000,$B$2:$B$10000&lt;&gt;"")=VALUE(INDEX(IdClientes,MATCH(DRZ2,Clientes,0))))</f>
        <v>#VALUE!</v>
      </c>
      <c r="DSA3" s="28" t="e" cm="1" vm="1">
        <f t="array" ref="DSA3">_xlfn._xlws.FILTER(Rutas,_xlfn._xlws.FILTER($B$2:$B$10000,$B$2:$B$10000&lt;&gt;"")=VALUE(INDEX(IdClientes,MATCH(DSA2,Clientes,0))))</f>
        <v>#VALUE!</v>
      </c>
      <c r="DSB3" s="28" t="e" cm="1" vm="1">
        <f t="array" ref="DSB3">_xlfn._xlws.FILTER(Rutas,_xlfn._xlws.FILTER($B$2:$B$10000,$B$2:$B$10000&lt;&gt;"")=VALUE(INDEX(IdClientes,MATCH(DSB2,Clientes,0))))</f>
        <v>#VALUE!</v>
      </c>
      <c r="DSC3" s="28" t="e" cm="1" vm="1">
        <f t="array" ref="DSC3">_xlfn._xlws.FILTER(Rutas,_xlfn._xlws.FILTER($B$2:$B$10000,$B$2:$B$10000&lt;&gt;"")=VALUE(INDEX(IdClientes,MATCH(DSC2,Clientes,0))))</f>
        <v>#VALUE!</v>
      </c>
      <c r="DSD3" s="28" t="e" cm="1" vm="1">
        <f t="array" ref="DSD3">_xlfn._xlws.FILTER(Rutas,_xlfn._xlws.FILTER($B$2:$B$10000,$B$2:$B$10000&lt;&gt;"")=VALUE(INDEX(IdClientes,MATCH(DSD2,Clientes,0))))</f>
        <v>#VALUE!</v>
      </c>
      <c r="DSE3" s="28" t="e" cm="1" vm="1">
        <f t="array" ref="DSE3">_xlfn._xlws.FILTER(Rutas,_xlfn._xlws.FILTER($B$2:$B$10000,$B$2:$B$10000&lt;&gt;"")=VALUE(INDEX(IdClientes,MATCH(DSE2,Clientes,0))))</f>
        <v>#VALUE!</v>
      </c>
      <c r="DSF3" s="28" t="e" cm="1" vm="1">
        <f t="array" ref="DSF3">_xlfn._xlws.FILTER(Rutas,_xlfn._xlws.FILTER($B$2:$B$10000,$B$2:$B$10000&lt;&gt;"")=VALUE(INDEX(IdClientes,MATCH(DSF2,Clientes,0))))</f>
        <v>#VALUE!</v>
      </c>
      <c r="DSG3" s="28" t="e" cm="1" vm="1">
        <f t="array" ref="DSG3">_xlfn._xlws.FILTER(Rutas,_xlfn._xlws.FILTER($B$2:$B$10000,$B$2:$B$10000&lt;&gt;"")=VALUE(INDEX(IdClientes,MATCH(DSG2,Clientes,0))))</f>
        <v>#VALUE!</v>
      </c>
      <c r="DSH3" s="28" t="e" cm="1" vm="1">
        <f t="array" ref="DSH3">_xlfn._xlws.FILTER(Rutas,_xlfn._xlws.FILTER($B$2:$B$10000,$B$2:$B$10000&lt;&gt;"")=VALUE(INDEX(IdClientes,MATCH(DSH2,Clientes,0))))</f>
        <v>#VALUE!</v>
      </c>
      <c r="DSI3" s="28" t="e" cm="1" vm="1">
        <f t="array" ref="DSI3">_xlfn._xlws.FILTER(Rutas,_xlfn._xlws.FILTER($B$2:$B$10000,$B$2:$B$10000&lt;&gt;"")=VALUE(INDEX(IdClientes,MATCH(DSI2,Clientes,0))))</f>
        <v>#VALUE!</v>
      </c>
      <c r="DSJ3" s="28" t="e" cm="1" vm="1">
        <f t="array" ref="DSJ3">_xlfn._xlws.FILTER(Rutas,_xlfn._xlws.FILTER($B$2:$B$10000,$B$2:$B$10000&lt;&gt;"")=VALUE(INDEX(IdClientes,MATCH(DSJ2,Clientes,0))))</f>
        <v>#VALUE!</v>
      </c>
      <c r="DSK3" s="28" t="e" cm="1" vm="1">
        <f t="array" ref="DSK3">_xlfn._xlws.FILTER(Rutas,_xlfn._xlws.FILTER($B$2:$B$10000,$B$2:$B$10000&lt;&gt;"")=VALUE(INDEX(IdClientes,MATCH(DSK2,Clientes,0))))</f>
        <v>#VALUE!</v>
      </c>
      <c r="DSL3" s="28" t="e" cm="1" vm="1">
        <f t="array" ref="DSL3">_xlfn._xlws.FILTER(Rutas,_xlfn._xlws.FILTER($B$2:$B$10000,$B$2:$B$10000&lt;&gt;"")=VALUE(INDEX(IdClientes,MATCH(DSL2,Clientes,0))))</f>
        <v>#VALUE!</v>
      </c>
      <c r="DSM3" s="28" t="e" cm="1" vm="1">
        <f t="array" ref="DSM3">_xlfn._xlws.FILTER(Rutas,_xlfn._xlws.FILTER($B$2:$B$10000,$B$2:$B$10000&lt;&gt;"")=VALUE(INDEX(IdClientes,MATCH(DSM2,Clientes,0))))</f>
        <v>#VALUE!</v>
      </c>
      <c r="DSN3" s="28" t="e" cm="1" vm="1">
        <f t="array" ref="DSN3">_xlfn._xlws.FILTER(Rutas,_xlfn._xlws.FILTER($B$2:$B$10000,$B$2:$B$10000&lt;&gt;"")=VALUE(INDEX(IdClientes,MATCH(DSN2,Clientes,0))))</f>
        <v>#VALUE!</v>
      </c>
      <c r="DSO3" s="28" t="e" cm="1" vm="1">
        <f t="array" ref="DSO3">_xlfn._xlws.FILTER(Rutas,_xlfn._xlws.FILTER($B$2:$B$10000,$B$2:$B$10000&lt;&gt;"")=VALUE(INDEX(IdClientes,MATCH(DSO2,Clientes,0))))</f>
        <v>#VALUE!</v>
      </c>
      <c r="DSP3" s="28" t="e" cm="1" vm="1">
        <f t="array" ref="DSP3">_xlfn._xlws.FILTER(Rutas,_xlfn._xlws.FILTER($B$2:$B$10000,$B$2:$B$10000&lt;&gt;"")=VALUE(INDEX(IdClientes,MATCH(DSP2,Clientes,0))))</f>
        <v>#VALUE!</v>
      </c>
      <c r="DSQ3" s="28" t="e" cm="1" vm="1">
        <f t="array" ref="DSQ3">_xlfn._xlws.FILTER(Rutas,_xlfn._xlws.FILTER($B$2:$B$10000,$B$2:$B$10000&lt;&gt;"")=VALUE(INDEX(IdClientes,MATCH(DSQ2,Clientes,0))))</f>
        <v>#VALUE!</v>
      </c>
      <c r="DSR3" s="28" t="e" cm="1" vm="1">
        <f t="array" ref="DSR3">_xlfn._xlws.FILTER(Rutas,_xlfn._xlws.FILTER($B$2:$B$10000,$B$2:$B$10000&lt;&gt;"")=VALUE(INDEX(IdClientes,MATCH(DSR2,Clientes,0))))</f>
        <v>#VALUE!</v>
      </c>
      <c r="DSS3" s="28" t="e" cm="1" vm="1">
        <f t="array" ref="DSS3">_xlfn._xlws.FILTER(Rutas,_xlfn._xlws.FILTER($B$2:$B$10000,$B$2:$B$10000&lt;&gt;"")=VALUE(INDEX(IdClientes,MATCH(DSS2,Clientes,0))))</f>
        <v>#VALUE!</v>
      </c>
      <c r="DST3" s="28" t="e" cm="1" vm="1">
        <f t="array" ref="DST3">_xlfn._xlws.FILTER(Rutas,_xlfn._xlws.FILTER($B$2:$B$10000,$B$2:$B$10000&lt;&gt;"")=VALUE(INDEX(IdClientes,MATCH(DST2,Clientes,0))))</f>
        <v>#VALUE!</v>
      </c>
      <c r="DSU3" s="28" t="e" cm="1" vm="1">
        <f t="array" ref="DSU3">_xlfn._xlws.FILTER(Rutas,_xlfn._xlws.FILTER($B$2:$B$10000,$B$2:$B$10000&lt;&gt;"")=VALUE(INDEX(IdClientes,MATCH(DSU2,Clientes,0))))</f>
        <v>#VALUE!</v>
      </c>
      <c r="DSV3" s="28" t="e" cm="1" vm="1">
        <f t="array" ref="DSV3">_xlfn._xlws.FILTER(Rutas,_xlfn._xlws.FILTER($B$2:$B$10000,$B$2:$B$10000&lt;&gt;"")=VALUE(INDEX(IdClientes,MATCH(DSV2,Clientes,0))))</f>
        <v>#VALUE!</v>
      </c>
      <c r="DSW3" s="28" t="e" cm="1" vm="1">
        <f t="array" ref="DSW3">_xlfn._xlws.FILTER(Rutas,_xlfn._xlws.FILTER($B$2:$B$10000,$B$2:$B$10000&lt;&gt;"")=VALUE(INDEX(IdClientes,MATCH(DSW2,Clientes,0))))</f>
        <v>#VALUE!</v>
      </c>
      <c r="DSX3" s="28" t="e" cm="1" vm="1">
        <f t="array" ref="DSX3">_xlfn._xlws.FILTER(Rutas,_xlfn._xlws.FILTER($B$2:$B$10000,$B$2:$B$10000&lt;&gt;"")=VALUE(INDEX(IdClientes,MATCH(DSX2,Clientes,0))))</f>
        <v>#VALUE!</v>
      </c>
      <c r="DSY3" s="28" t="e" cm="1" vm="1">
        <f t="array" ref="DSY3">_xlfn._xlws.FILTER(Rutas,_xlfn._xlws.FILTER($B$2:$B$10000,$B$2:$B$10000&lt;&gt;"")=VALUE(INDEX(IdClientes,MATCH(DSY2,Clientes,0))))</f>
        <v>#VALUE!</v>
      </c>
      <c r="DSZ3" s="28" t="e" cm="1" vm="1">
        <f t="array" ref="DSZ3">_xlfn._xlws.FILTER(Rutas,_xlfn._xlws.FILTER($B$2:$B$10000,$B$2:$B$10000&lt;&gt;"")=VALUE(INDEX(IdClientes,MATCH(DSZ2,Clientes,0))))</f>
        <v>#VALUE!</v>
      </c>
      <c r="DTA3" s="28" t="e" cm="1" vm="1">
        <f t="array" ref="DTA3">_xlfn._xlws.FILTER(Rutas,_xlfn._xlws.FILTER($B$2:$B$10000,$B$2:$B$10000&lt;&gt;"")=VALUE(INDEX(IdClientes,MATCH(DTA2,Clientes,0))))</f>
        <v>#VALUE!</v>
      </c>
      <c r="DTB3" s="28" t="e" cm="1" vm="1">
        <f t="array" ref="DTB3">_xlfn._xlws.FILTER(Rutas,_xlfn._xlws.FILTER($B$2:$B$10000,$B$2:$B$10000&lt;&gt;"")=VALUE(INDEX(IdClientes,MATCH(DTB2,Clientes,0))))</f>
        <v>#VALUE!</v>
      </c>
      <c r="DTC3" s="28" t="e" cm="1" vm="1">
        <f t="array" ref="DTC3">_xlfn._xlws.FILTER(Rutas,_xlfn._xlws.FILTER($B$2:$B$10000,$B$2:$B$10000&lt;&gt;"")=VALUE(INDEX(IdClientes,MATCH(DTC2,Clientes,0))))</f>
        <v>#VALUE!</v>
      </c>
      <c r="DTD3" s="28" t="e" cm="1" vm="1">
        <f t="array" ref="DTD3">_xlfn._xlws.FILTER(Rutas,_xlfn._xlws.FILTER($B$2:$B$10000,$B$2:$B$10000&lt;&gt;"")=VALUE(INDEX(IdClientes,MATCH(DTD2,Clientes,0))))</f>
        <v>#VALUE!</v>
      </c>
      <c r="DTE3" s="28" t="e" cm="1" vm="1">
        <f t="array" ref="DTE3">_xlfn._xlws.FILTER(Rutas,_xlfn._xlws.FILTER($B$2:$B$10000,$B$2:$B$10000&lt;&gt;"")=VALUE(INDEX(IdClientes,MATCH(DTE2,Clientes,0))))</f>
        <v>#VALUE!</v>
      </c>
      <c r="DTF3" s="28" t="e" cm="1" vm="1">
        <f t="array" ref="DTF3">_xlfn._xlws.FILTER(Rutas,_xlfn._xlws.FILTER($B$2:$B$10000,$B$2:$B$10000&lt;&gt;"")=VALUE(INDEX(IdClientes,MATCH(DTF2,Clientes,0))))</f>
        <v>#VALUE!</v>
      </c>
      <c r="DTG3" s="28" t="e" cm="1" vm="1">
        <f t="array" ref="DTG3">_xlfn._xlws.FILTER(Rutas,_xlfn._xlws.FILTER($B$2:$B$10000,$B$2:$B$10000&lt;&gt;"")=VALUE(INDEX(IdClientes,MATCH(DTG2,Clientes,0))))</f>
        <v>#VALUE!</v>
      </c>
      <c r="DTH3" s="28" t="e" cm="1" vm="1">
        <f t="array" ref="DTH3">_xlfn._xlws.FILTER(Rutas,_xlfn._xlws.FILTER($B$2:$B$10000,$B$2:$B$10000&lt;&gt;"")=VALUE(INDEX(IdClientes,MATCH(DTH2,Clientes,0))))</f>
        <v>#VALUE!</v>
      </c>
      <c r="DTI3" s="28" t="e" cm="1" vm="1">
        <f t="array" ref="DTI3">_xlfn._xlws.FILTER(Rutas,_xlfn._xlws.FILTER($B$2:$B$10000,$B$2:$B$10000&lt;&gt;"")=VALUE(INDEX(IdClientes,MATCH(DTI2,Clientes,0))))</f>
        <v>#VALUE!</v>
      </c>
      <c r="DTJ3" s="28" t="e" cm="1" vm="1">
        <f t="array" ref="DTJ3">_xlfn._xlws.FILTER(Rutas,_xlfn._xlws.FILTER($B$2:$B$10000,$B$2:$B$10000&lt;&gt;"")=VALUE(INDEX(IdClientes,MATCH(DTJ2,Clientes,0))))</f>
        <v>#VALUE!</v>
      </c>
      <c r="DTK3" s="28" t="e" cm="1" vm="1">
        <f t="array" ref="DTK3">_xlfn._xlws.FILTER(Rutas,_xlfn._xlws.FILTER($B$2:$B$10000,$B$2:$B$10000&lt;&gt;"")=VALUE(INDEX(IdClientes,MATCH(DTK2,Clientes,0))))</f>
        <v>#VALUE!</v>
      </c>
      <c r="DTL3" s="28" t="e" cm="1" vm="1">
        <f t="array" ref="DTL3">_xlfn._xlws.FILTER(Rutas,_xlfn._xlws.FILTER($B$2:$B$10000,$B$2:$B$10000&lt;&gt;"")=VALUE(INDEX(IdClientes,MATCH(DTL2,Clientes,0))))</f>
        <v>#VALUE!</v>
      </c>
      <c r="DTM3" s="28" t="e" cm="1" vm="1">
        <f t="array" ref="DTM3">_xlfn._xlws.FILTER(Rutas,_xlfn._xlws.FILTER($B$2:$B$10000,$B$2:$B$10000&lt;&gt;"")=VALUE(INDEX(IdClientes,MATCH(DTM2,Clientes,0))))</f>
        <v>#VALUE!</v>
      </c>
      <c r="DTN3" s="28" t="e" cm="1" vm="1">
        <f t="array" ref="DTN3">_xlfn._xlws.FILTER(Rutas,_xlfn._xlws.FILTER($B$2:$B$10000,$B$2:$B$10000&lt;&gt;"")=VALUE(INDEX(IdClientes,MATCH(DTN2,Clientes,0))))</f>
        <v>#VALUE!</v>
      </c>
      <c r="DTO3" s="28" t="e" cm="1" vm="1">
        <f t="array" ref="DTO3">_xlfn._xlws.FILTER(Rutas,_xlfn._xlws.FILTER($B$2:$B$10000,$B$2:$B$10000&lt;&gt;"")=VALUE(INDEX(IdClientes,MATCH(DTO2,Clientes,0))))</f>
        <v>#VALUE!</v>
      </c>
      <c r="DTP3" s="28" t="e" cm="1" vm="1">
        <f t="array" ref="DTP3">_xlfn._xlws.FILTER(Rutas,_xlfn._xlws.FILTER($B$2:$B$10000,$B$2:$B$10000&lt;&gt;"")=VALUE(INDEX(IdClientes,MATCH(DTP2,Clientes,0))))</f>
        <v>#VALUE!</v>
      </c>
      <c r="DTQ3" s="28" t="e" cm="1" vm="1">
        <f t="array" ref="DTQ3">_xlfn._xlws.FILTER(Rutas,_xlfn._xlws.FILTER($B$2:$B$10000,$B$2:$B$10000&lt;&gt;"")=VALUE(INDEX(IdClientes,MATCH(DTQ2,Clientes,0))))</f>
        <v>#VALUE!</v>
      </c>
      <c r="DTR3" s="28" t="e" cm="1" vm="1">
        <f t="array" ref="DTR3">_xlfn._xlws.FILTER(Rutas,_xlfn._xlws.FILTER($B$2:$B$10000,$B$2:$B$10000&lt;&gt;"")=VALUE(INDEX(IdClientes,MATCH(DTR2,Clientes,0))))</f>
        <v>#VALUE!</v>
      </c>
      <c r="DTS3" s="28" t="e" cm="1" vm="1">
        <f t="array" ref="DTS3">_xlfn._xlws.FILTER(Rutas,_xlfn._xlws.FILTER($B$2:$B$10000,$B$2:$B$10000&lt;&gt;"")=VALUE(INDEX(IdClientes,MATCH(DTS2,Clientes,0))))</f>
        <v>#VALUE!</v>
      </c>
      <c r="DTT3" s="28" t="e" cm="1" vm="1">
        <f t="array" ref="DTT3">_xlfn._xlws.FILTER(Rutas,_xlfn._xlws.FILTER($B$2:$B$10000,$B$2:$B$10000&lt;&gt;"")=VALUE(INDEX(IdClientes,MATCH(DTT2,Clientes,0))))</f>
        <v>#VALUE!</v>
      </c>
      <c r="DTU3" s="28" t="e" cm="1" vm="1">
        <f t="array" ref="DTU3">_xlfn._xlws.FILTER(Rutas,_xlfn._xlws.FILTER($B$2:$B$10000,$B$2:$B$10000&lt;&gt;"")=VALUE(INDEX(IdClientes,MATCH(DTU2,Clientes,0))))</f>
        <v>#VALUE!</v>
      </c>
      <c r="DTV3" s="28" t="e" cm="1" vm="1">
        <f t="array" ref="DTV3">_xlfn._xlws.FILTER(Rutas,_xlfn._xlws.FILTER($B$2:$B$10000,$B$2:$B$10000&lt;&gt;"")=VALUE(INDEX(IdClientes,MATCH(DTV2,Clientes,0))))</f>
        <v>#VALUE!</v>
      </c>
      <c r="DTW3" s="28" t="e" cm="1" vm="1">
        <f t="array" ref="DTW3">_xlfn._xlws.FILTER(Rutas,_xlfn._xlws.FILTER($B$2:$B$10000,$B$2:$B$10000&lt;&gt;"")=VALUE(INDEX(IdClientes,MATCH(DTW2,Clientes,0))))</f>
        <v>#VALUE!</v>
      </c>
      <c r="DTX3" s="28" t="e" cm="1" vm="1">
        <f t="array" ref="DTX3">_xlfn._xlws.FILTER(Rutas,_xlfn._xlws.FILTER($B$2:$B$10000,$B$2:$B$10000&lt;&gt;"")=VALUE(INDEX(IdClientes,MATCH(DTX2,Clientes,0))))</f>
        <v>#VALUE!</v>
      </c>
      <c r="DTY3" s="28" t="e" cm="1" vm="1">
        <f t="array" ref="DTY3">_xlfn._xlws.FILTER(Rutas,_xlfn._xlws.FILTER($B$2:$B$10000,$B$2:$B$10000&lt;&gt;"")=VALUE(INDEX(IdClientes,MATCH(DTY2,Clientes,0))))</f>
        <v>#VALUE!</v>
      </c>
      <c r="DTZ3" s="28" t="e" cm="1" vm="1">
        <f t="array" ref="DTZ3">_xlfn._xlws.FILTER(Rutas,_xlfn._xlws.FILTER($B$2:$B$10000,$B$2:$B$10000&lt;&gt;"")=VALUE(INDEX(IdClientes,MATCH(DTZ2,Clientes,0))))</f>
        <v>#VALUE!</v>
      </c>
      <c r="DUA3" s="28" t="e" cm="1" vm="1">
        <f t="array" ref="DUA3">_xlfn._xlws.FILTER(Rutas,_xlfn._xlws.FILTER($B$2:$B$10000,$B$2:$B$10000&lt;&gt;"")=VALUE(INDEX(IdClientes,MATCH(DUA2,Clientes,0))))</f>
        <v>#VALUE!</v>
      </c>
      <c r="DUB3" s="28" t="e" cm="1" vm="1">
        <f t="array" ref="DUB3">_xlfn._xlws.FILTER(Rutas,_xlfn._xlws.FILTER($B$2:$B$10000,$B$2:$B$10000&lt;&gt;"")=VALUE(INDEX(IdClientes,MATCH(DUB2,Clientes,0))))</f>
        <v>#VALUE!</v>
      </c>
      <c r="DUC3" s="28" t="e" cm="1" vm="1">
        <f t="array" ref="DUC3">_xlfn._xlws.FILTER(Rutas,_xlfn._xlws.FILTER($B$2:$B$10000,$B$2:$B$10000&lt;&gt;"")=VALUE(INDEX(IdClientes,MATCH(DUC2,Clientes,0))))</f>
        <v>#VALUE!</v>
      </c>
      <c r="DUD3" s="28" t="e" cm="1" vm="1">
        <f t="array" ref="DUD3">_xlfn._xlws.FILTER(Rutas,_xlfn._xlws.FILTER($B$2:$B$10000,$B$2:$B$10000&lt;&gt;"")=VALUE(INDEX(IdClientes,MATCH(DUD2,Clientes,0))))</f>
        <v>#VALUE!</v>
      </c>
      <c r="DUE3" s="28" t="e" cm="1" vm="1">
        <f t="array" ref="DUE3">_xlfn._xlws.FILTER(Rutas,_xlfn._xlws.FILTER($B$2:$B$10000,$B$2:$B$10000&lt;&gt;"")=VALUE(INDEX(IdClientes,MATCH(DUE2,Clientes,0))))</f>
        <v>#VALUE!</v>
      </c>
      <c r="DUF3" s="28" t="e" cm="1" vm="1">
        <f t="array" ref="DUF3">_xlfn._xlws.FILTER(Rutas,_xlfn._xlws.FILTER($B$2:$B$10000,$B$2:$B$10000&lt;&gt;"")=VALUE(INDEX(IdClientes,MATCH(DUF2,Clientes,0))))</f>
        <v>#VALUE!</v>
      </c>
      <c r="DUG3" s="28" t="e" cm="1" vm="1">
        <f t="array" ref="DUG3">_xlfn._xlws.FILTER(Rutas,_xlfn._xlws.FILTER($B$2:$B$10000,$B$2:$B$10000&lt;&gt;"")=VALUE(INDEX(IdClientes,MATCH(DUG2,Clientes,0))))</f>
        <v>#VALUE!</v>
      </c>
      <c r="DUH3" s="28" t="e" cm="1" vm="1">
        <f t="array" ref="DUH3">_xlfn._xlws.FILTER(Rutas,_xlfn._xlws.FILTER($B$2:$B$10000,$B$2:$B$10000&lt;&gt;"")=VALUE(INDEX(IdClientes,MATCH(DUH2,Clientes,0))))</f>
        <v>#VALUE!</v>
      </c>
      <c r="DUI3" s="28" t="e" cm="1" vm="1">
        <f t="array" ref="DUI3">_xlfn._xlws.FILTER(Rutas,_xlfn._xlws.FILTER($B$2:$B$10000,$B$2:$B$10000&lt;&gt;"")=VALUE(INDEX(IdClientes,MATCH(DUI2,Clientes,0))))</f>
        <v>#VALUE!</v>
      </c>
      <c r="DUJ3" s="28" t="e" cm="1" vm="1">
        <f t="array" ref="DUJ3">_xlfn._xlws.FILTER(Rutas,_xlfn._xlws.FILTER($B$2:$B$10000,$B$2:$B$10000&lt;&gt;"")=VALUE(INDEX(IdClientes,MATCH(DUJ2,Clientes,0))))</f>
        <v>#VALUE!</v>
      </c>
      <c r="DUK3" s="28" t="e" cm="1" vm="1">
        <f t="array" ref="DUK3">_xlfn._xlws.FILTER(Rutas,_xlfn._xlws.FILTER($B$2:$B$10000,$B$2:$B$10000&lt;&gt;"")=VALUE(INDEX(IdClientes,MATCH(DUK2,Clientes,0))))</f>
        <v>#VALUE!</v>
      </c>
      <c r="DUL3" s="28" t="e" cm="1" vm="1">
        <f t="array" ref="DUL3">_xlfn._xlws.FILTER(Rutas,_xlfn._xlws.FILTER($B$2:$B$10000,$B$2:$B$10000&lt;&gt;"")=VALUE(INDEX(IdClientes,MATCH(DUL2,Clientes,0))))</f>
        <v>#VALUE!</v>
      </c>
      <c r="DUM3" s="28" t="e" cm="1" vm="1">
        <f t="array" ref="DUM3">_xlfn._xlws.FILTER(Rutas,_xlfn._xlws.FILTER($B$2:$B$10000,$B$2:$B$10000&lt;&gt;"")=VALUE(INDEX(IdClientes,MATCH(DUM2,Clientes,0))))</f>
        <v>#VALUE!</v>
      </c>
      <c r="DUN3" s="28" t="e" cm="1" vm="1">
        <f t="array" ref="DUN3">_xlfn._xlws.FILTER(Rutas,_xlfn._xlws.FILTER($B$2:$B$10000,$B$2:$B$10000&lt;&gt;"")=VALUE(INDEX(IdClientes,MATCH(DUN2,Clientes,0))))</f>
        <v>#VALUE!</v>
      </c>
      <c r="DUO3" s="28" t="e" cm="1" vm="1">
        <f t="array" ref="DUO3">_xlfn._xlws.FILTER(Rutas,_xlfn._xlws.FILTER($B$2:$B$10000,$B$2:$B$10000&lt;&gt;"")=VALUE(INDEX(IdClientes,MATCH(DUO2,Clientes,0))))</f>
        <v>#VALUE!</v>
      </c>
      <c r="DUP3" s="28" t="e" cm="1" vm="1">
        <f t="array" ref="DUP3">_xlfn._xlws.FILTER(Rutas,_xlfn._xlws.FILTER($B$2:$B$10000,$B$2:$B$10000&lt;&gt;"")=VALUE(INDEX(IdClientes,MATCH(DUP2,Clientes,0))))</f>
        <v>#VALUE!</v>
      </c>
      <c r="DUQ3" s="28" t="e" cm="1" vm="1">
        <f t="array" ref="DUQ3">_xlfn._xlws.FILTER(Rutas,_xlfn._xlws.FILTER($B$2:$B$10000,$B$2:$B$10000&lt;&gt;"")=VALUE(INDEX(IdClientes,MATCH(DUQ2,Clientes,0))))</f>
        <v>#VALUE!</v>
      </c>
      <c r="DUR3" s="28" t="e" cm="1" vm="1">
        <f t="array" ref="DUR3">_xlfn._xlws.FILTER(Rutas,_xlfn._xlws.FILTER($B$2:$B$10000,$B$2:$B$10000&lt;&gt;"")=VALUE(INDEX(IdClientes,MATCH(DUR2,Clientes,0))))</f>
        <v>#VALUE!</v>
      </c>
      <c r="DUS3" s="28" t="e" cm="1" vm="1">
        <f t="array" ref="DUS3">_xlfn._xlws.FILTER(Rutas,_xlfn._xlws.FILTER($B$2:$B$10000,$B$2:$B$10000&lt;&gt;"")=VALUE(INDEX(IdClientes,MATCH(DUS2,Clientes,0))))</f>
        <v>#VALUE!</v>
      </c>
      <c r="DUT3" s="28" t="e" cm="1" vm="1">
        <f t="array" ref="DUT3">_xlfn._xlws.FILTER(Rutas,_xlfn._xlws.FILTER($B$2:$B$10000,$B$2:$B$10000&lt;&gt;"")=VALUE(INDEX(IdClientes,MATCH(DUT2,Clientes,0))))</f>
        <v>#VALUE!</v>
      </c>
      <c r="DUU3" s="28" t="e" cm="1" vm="1">
        <f t="array" ref="DUU3">_xlfn._xlws.FILTER(Rutas,_xlfn._xlws.FILTER($B$2:$B$10000,$B$2:$B$10000&lt;&gt;"")=VALUE(INDEX(IdClientes,MATCH(DUU2,Clientes,0))))</f>
        <v>#VALUE!</v>
      </c>
      <c r="DUV3" s="28" t="e" cm="1" vm="1">
        <f t="array" ref="DUV3">_xlfn._xlws.FILTER(Rutas,_xlfn._xlws.FILTER($B$2:$B$10000,$B$2:$B$10000&lt;&gt;"")=VALUE(INDEX(IdClientes,MATCH(DUV2,Clientes,0))))</f>
        <v>#VALUE!</v>
      </c>
      <c r="DUW3" s="28" t="e" cm="1" vm="1">
        <f t="array" ref="DUW3">_xlfn._xlws.FILTER(Rutas,_xlfn._xlws.FILTER($B$2:$B$10000,$B$2:$B$10000&lt;&gt;"")=VALUE(INDEX(IdClientes,MATCH(DUW2,Clientes,0))))</f>
        <v>#VALUE!</v>
      </c>
      <c r="DUX3" s="28" t="e" cm="1" vm="1">
        <f t="array" ref="DUX3">_xlfn._xlws.FILTER(Rutas,_xlfn._xlws.FILTER($B$2:$B$10000,$B$2:$B$10000&lt;&gt;"")=VALUE(INDEX(IdClientes,MATCH(DUX2,Clientes,0))))</f>
        <v>#VALUE!</v>
      </c>
      <c r="DUY3" s="28" t="e" cm="1" vm="1">
        <f t="array" ref="DUY3">_xlfn._xlws.FILTER(Rutas,_xlfn._xlws.FILTER($B$2:$B$10000,$B$2:$B$10000&lt;&gt;"")=VALUE(INDEX(IdClientes,MATCH(DUY2,Clientes,0))))</f>
        <v>#VALUE!</v>
      </c>
      <c r="DUZ3" s="28" t="e" cm="1" vm="1">
        <f t="array" ref="DUZ3">_xlfn._xlws.FILTER(Rutas,_xlfn._xlws.FILTER($B$2:$B$10000,$B$2:$B$10000&lt;&gt;"")=VALUE(INDEX(IdClientes,MATCH(DUZ2,Clientes,0))))</f>
        <v>#VALUE!</v>
      </c>
      <c r="DVA3" s="28" t="e" cm="1" vm="1">
        <f t="array" ref="DVA3">_xlfn._xlws.FILTER(Rutas,_xlfn._xlws.FILTER($B$2:$B$10000,$B$2:$B$10000&lt;&gt;"")=VALUE(INDEX(IdClientes,MATCH(DVA2,Clientes,0))))</f>
        <v>#VALUE!</v>
      </c>
      <c r="DVB3" s="28" t="e" cm="1" vm="1">
        <f t="array" ref="DVB3">_xlfn._xlws.FILTER(Rutas,_xlfn._xlws.FILTER($B$2:$B$10000,$B$2:$B$10000&lt;&gt;"")=VALUE(INDEX(IdClientes,MATCH(DVB2,Clientes,0))))</f>
        <v>#VALUE!</v>
      </c>
      <c r="DVC3" s="28" t="e" cm="1" vm="1">
        <f t="array" ref="DVC3">_xlfn._xlws.FILTER(Rutas,_xlfn._xlws.FILTER($B$2:$B$10000,$B$2:$B$10000&lt;&gt;"")=VALUE(INDEX(IdClientes,MATCH(DVC2,Clientes,0))))</f>
        <v>#VALUE!</v>
      </c>
      <c r="DVD3" s="28" t="e" cm="1" vm="1">
        <f t="array" ref="DVD3">_xlfn._xlws.FILTER(Rutas,_xlfn._xlws.FILTER($B$2:$B$10000,$B$2:$B$10000&lt;&gt;"")=VALUE(INDEX(IdClientes,MATCH(DVD2,Clientes,0))))</f>
        <v>#VALUE!</v>
      </c>
      <c r="DVE3" s="28" t="e" cm="1" vm="1">
        <f t="array" ref="DVE3">_xlfn._xlws.FILTER(Rutas,_xlfn._xlws.FILTER($B$2:$B$10000,$B$2:$B$10000&lt;&gt;"")=VALUE(INDEX(IdClientes,MATCH(DVE2,Clientes,0))))</f>
        <v>#VALUE!</v>
      </c>
      <c r="DVF3" s="28" t="e" cm="1" vm="1">
        <f t="array" ref="DVF3">_xlfn._xlws.FILTER(Rutas,_xlfn._xlws.FILTER($B$2:$B$10000,$B$2:$B$10000&lt;&gt;"")=VALUE(INDEX(IdClientes,MATCH(DVF2,Clientes,0))))</f>
        <v>#VALUE!</v>
      </c>
      <c r="DVG3" s="28" t="e" cm="1" vm="1">
        <f t="array" ref="DVG3">_xlfn._xlws.FILTER(Rutas,_xlfn._xlws.FILTER($B$2:$B$10000,$B$2:$B$10000&lt;&gt;"")=VALUE(INDEX(IdClientes,MATCH(DVG2,Clientes,0))))</f>
        <v>#VALUE!</v>
      </c>
      <c r="DVH3" s="28" t="e" cm="1" vm="1">
        <f t="array" ref="DVH3">_xlfn._xlws.FILTER(Rutas,_xlfn._xlws.FILTER($B$2:$B$10000,$B$2:$B$10000&lt;&gt;"")=VALUE(INDEX(IdClientes,MATCH(DVH2,Clientes,0))))</f>
        <v>#VALUE!</v>
      </c>
      <c r="DVI3" s="28" t="e" cm="1" vm="1">
        <f t="array" ref="DVI3">_xlfn._xlws.FILTER(Rutas,_xlfn._xlws.FILTER($B$2:$B$10000,$B$2:$B$10000&lt;&gt;"")=VALUE(INDEX(IdClientes,MATCH(DVI2,Clientes,0))))</f>
        <v>#VALUE!</v>
      </c>
      <c r="DVJ3" s="28" t="e" cm="1" vm="1">
        <f t="array" ref="DVJ3">_xlfn._xlws.FILTER(Rutas,_xlfn._xlws.FILTER($B$2:$B$10000,$B$2:$B$10000&lt;&gt;"")=VALUE(INDEX(IdClientes,MATCH(DVJ2,Clientes,0))))</f>
        <v>#VALUE!</v>
      </c>
      <c r="DVK3" s="28" t="e" cm="1" vm="1">
        <f t="array" ref="DVK3">_xlfn._xlws.FILTER(Rutas,_xlfn._xlws.FILTER($B$2:$B$10000,$B$2:$B$10000&lt;&gt;"")=VALUE(INDEX(IdClientes,MATCH(DVK2,Clientes,0))))</f>
        <v>#VALUE!</v>
      </c>
      <c r="DVL3" s="28" t="e" cm="1" vm="1">
        <f t="array" ref="DVL3">_xlfn._xlws.FILTER(Rutas,_xlfn._xlws.FILTER($B$2:$B$10000,$B$2:$B$10000&lt;&gt;"")=VALUE(INDEX(IdClientes,MATCH(DVL2,Clientes,0))))</f>
        <v>#VALUE!</v>
      </c>
      <c r="DVM3" s="28" t="e" cm="1" vm="1">
        <f t="array" ref="DVM3">_xlfn._xlws.FILTER(Rutas,_xlfn._xlws.FILTER($B$2:$B$10000,$B$2:$B$10000&lt;&gt;"")=VALUE(INDEX(IdClientes,MATCH(DVM2,Clientes,0))))</f>
        <v>#VALUE!</v>
      </c>
      <c r="DVN3" s="28" t="e" cm="1" vm="1">
        <f t="array" ref="DVN3">_xlfn._xlws.FILTER(Rutas,_xlfn._xlws.FILTER($B$2:$B$10000,$B$2:$B$10000&lt;&gt;"")=VALUE(INDEX(IdClientes,MATCH(DVN2,Clientes,0))))</f>
        <v>#VALUE!</v>
      </c>
      <c r="DVO3" s="28" t="e" cm="1" vm="1">
        <f t="array" ref="DVO3">_xlfn._xlws.FILTER(Rutas,_xlfn._xlws.FILTER($B$2:$B$10000,$B$2:$B$10000&lt;&gt;"")=VALUE(INDEX(IdClientes,MATCH(DVO2,Clientes,0))))</f>
        <v>#VALUE!</v>
      </c>
      <c r="DVP3" s="28" t="e" cm="1" vm="1">
        <f t="array" ref="DVP3">_xlfn._xlws.FILTER(Rutas,_xlfn._xlws.FILTER($B$2:$B$10000,$B$2:$B$10000&lt;&gt;"")=VALUE(INDEX(IdClientes,MATCH(DVP2,Clientes,0))))</f>
        <v>#VALUE!</v>
      </c>
      <c r="DVQ3" s="28" t="e" cm="1" vm="1">
        <f t="array" ref="DVQ3">_xlfn._xlws.FILTER(Rutas,_xlfn._xlws.FILTER($B$2:$B$10000,$B$2:$B$10000&lt;&gt;"")=VALUE(INDEX(IdClientes,MATCH(DVQ2,Clientes,0))))</f>
        <v>#VALUE!</v>
      </c>
      <c r="DVR3" s="28" t="e" cm="1" vm="1">
        <f t="array" ref="DVR3">_xlfn._xlws.FILTER(Rutas,_xlfn._xlws.FILTER($B$2:$B$10000,$B$2:$B$10000&lt;&gt;"")=VALUE(INDEX(IdClientes,MATCH(DVR2,Clientes,0))))</f>
        <v>#VALUE!</v>
      </c>
      <c r="DVS3" s="28" t="e" cm="1" vm="1">
        <f t="array" ref="DVS3">_xlfn._xlws.FILTER(Rutas,_xlfn._xlws.FILTER($B$2:$B$10000,$B$2:$B$10000&lt;&gt;"")=VALUE(INDEX(IdClientes,MATCH(DVS2,Clientes,0))))</f>
        <v>#VALUE!</v>
      </c>
      <c r="DVT3" s="28" t="e" cm="1" vm="1">
        <f t="array" ref="DVT3">_xlfn._xlws.FILTER(Rutas,_xlfn._xlws.FILTER($B$2:$B$10000,$B$2:$B$10000&lt;&gt;"")=VALUE(INDEX(IdClientes,MATCH(DVT2,Clientes,0))))</f>
        <v>#VALUE!</v>
      </c>
      <c r="DVU3" s="28" t="e" cm="1" vm="1">
        <f t="array" ref="DVU3">_xlfn._xlws.FILTER(Rutas,_xlfn._xlws.FILTER($B$2:$B$10000,$B$2:$B$10000&lt;&gt;"")=VALUE(INDEX(IdClientes,MATCH(DVU2,Clientes,0))))</f>
        <v>#VALUE!</v>
      </c>
      <c r="DVV3" s="28" t="e" cm="1" vm="1">
        <f t="array" ref="DVV3">_xlfn._xlws.FILTER(Rutas,_xlfn._xlws.FILTER($B$2:$B$10000,$B$2:$B$10000&lt;&gt;"")=VALUE(INDEX(IdClientes,MATCH(DVV2,Clientes,0))))</f>
        <v>#VALUE!</v>
      </c>
      <c r="DVW3" s="28" t="e" cm="1" vm="1">
        <f t="array" ref="DVW3">_xlfn._xlws.FILTER(Rutas,_xlfn._xlws.FILTER($B$2:$B$10000,$B$2:$B$10000&lt;&gt;"")=VALUE(INDEX(IdClientes,MATCH(DVW2,Clientes,0))))</f>
        <v>#VALUE!</v>
      </c>
      <c r="DVX3" s="28" t="e" cm="1" vm="1">
        <f t="array" ref="DVX3">_xlfn._xlws.FILTER(Rutas,_xlfn._xlws.FILTER($B$2:$B$10000,$B$2:$B$10000&lt;&gt;"")=VALUE(INDEX(IdClientes,MATCH(DVX2,Clientes,0))))</f>
        <v>#VALUE!</v>
      </c>
      <c r="DVY3" s="28" t="e" cm="1" vm="1">
        <f t="array" ref="DVY3">_xlfn._xlws.FILTER(Rutas,_xlfn._xlws.FILTER($B$2:$B$10000,$B$2:$B$10000&lt;&gt;"")=VALUE(INDEX(IdClientes,MATCH(DVY2,Clientes,0))))</f>
        <v>#VALUE!</v>
      </c>
      <c r="DVZ3" s="28" t="e" cm="1" vm="1">
        <f t="array" ref="DVZ3">_xlfn._xlws.FILTER(Rutas,_xlfn._xlws.FILTER($B$2:$B$10000,$B$2:$B$10000&lt;&gt;"")=VALUE(INDEX(IdClientes,MATCH(DVZ2,Clientes,0))))</f>
        <v>#VALUE!</v>
      </c>
      <c r="DWA3" s="28" t="e" cm="1" vm="1">
        <f t="array" ref="DWA3">_xlfn._xlws.FILTER(Rutas,_xlfn._xlws.FILTER($B$2:$B$10000,$B$2:$B$10000&lt;&gt;"")=VALUE(INDEX(IdClientes,MATCH(DWA2,Clientes,0))))</f>
        <v>#VALUE!</v>
      </c>
      <c r="DWB3" s="28" t="e" cm="1" vm="1">
        <f t="array" ref="DWB3">_xlfn._xlws.FILTER(Rutas,_xlfn._xlws.FILTER($B$2:$B$10000,$B$2:$B$10000&lt;&gt;"")=VALUE(INDEX(IdClientes,MATCH(DWB2,Clientes,0))))</f>
        <v>#VALUE!</v>
      </c>
      <c r="DWC3" s="28" t="e" cm="1" vm="1">
        <f t="array" ref="DWC3">_xlfn._xlws.FILTER(Rutas,_xlfn._xlws.FILTER($B$2:$B$10000,$B$2:$B$10000&lt;&gt;"")=VALUE(INDEX(IdClientes,MATCH(DWC2,Clientes,0))))</f>
        <v>#VALUE!</v>
      </c>
      <c r="DWD3" s="28" t="e" cm="1" vm="1">
        <f t="array" ref="DWD3">_xlfn._xlws.FILTER(Rutas,_xlfn._xlws.FILTER($B$2:$B$10000,$B$2:$B$10000&lt;&gt;"")=VALUE(INDEX(IdClientes,MATCH(DWD2,Clientes,0))))</f>
        <v>#VALUE!</v>
      </c>
      <c r="DWE3" s="28" t="e" cm="1" vm="1">
        <f t="array" ref="DWE3">_xlfn._xlws.FILTER(Rutas,_xlfn._xlws.FILTER($B$2:$B$10000,$B$2:$B$10000&lt;&gt;"")=VALUE(INDEX(IdClientes,MATCH(DWE2,Clientes,0))))</f>
        <v>#VALUE!</v>
      </c>
      <c r="DWF3" s="28" t="e" cm="1" vm="1">
        <f t="array" ref="DWF3">_xlfn._xlws.FILTER(Rutas,_xlfn._xlws.FILTER($B$2:$B$10000,$B$2:$B$10000&lt;&gt;"")=VALUE(INDEX(IdClientes,MATCH(DWF2,Clientes,0))))</f>
        <v>#VALUE!</v>
      </c>
      <c r="DWG3" s="28" t="e" cm="1" vm="1">
        <f t="array" ref="DWG3">_xlfn._xlws.FILTER(Rutas,_xlfn._xlws.FILTER($B$2:$B$10000,$B$2:$B$10000&lt;&gt;"")=VALUE(INDEX(IdClientes,MATCH(DWG2,Clientes,0))))</f>
        <v>#VALUE!</v>
      </c>
      <c r="DWH3" s="28" t="e" cm="1" vm="1">
        <f t="array" ref="DWH3">_xlfn._xlws.FILTER(Rutas,_xlfn._xlws.FILTER($B$2:$B$10000,$B$2:$B$10000&lt;&gt;"")=VALUE(INDEX(IdClientes,MATCH(DWH2,Clientes,0))))</f>
        <v>#VALUE!</v>
      </c>
      <c r="DWI3" s="28" t="e" cm="1" vm="1">
        <f t="array" ref="DWI3">_xlfn._xlws.FILTER(Rutas,_xlfn._xlws.FILTER($B$2:$B$10000,$B$2:$B$10000&lt;&gt;"")=VALUE(INDEX(IdClientes,MATCH(DWI2,Clientes,0))))</f>
        <v>#VALUE!</v>
      </c>
      <c r="DWJ3" s="28" t="e" cm="1" vm="1">
        <f t="array" ref="DWJ3">_xlfn._xlws.FILTER(Rutas,_xlfn._xlws.FILTER($B$2:$B$10000,$B$2:$B$10000&lt;&gt;"")=VALUE(INDEX(IdClientes,MATCH(DWJ2,Clientes,0))))</f>
        <v>#VALUE!</v>
      </c>
      <c r="DWK3" s="28" t="e" cm="1" vm="1">
        <f t="array" ref="DWK3">_xlfn._xlws.FILTER(Rutas,_xlfn._xlws.FILTER($B$2:$B$10000,$B$2:$B$10000&lt;&gt;"")=VALUE(INDEX(IdClientes,MATCH(DWK2,Clientes,0))))</f>
        <v>#VALUE!</v>
      </c>
      <c r="DWL3" s="28" t="e" cm="1" vm="1">
        <f t="array" ref="DWL3">_xlfn._xlws.FILTER(Rutas,_xlfn._xlws.FILTER($B$2:$B$10000,$B$2:$B$10000&lt;&gt;"")=VALUE(INDEX(IdClientes,MATCH(DWL2,Clientes,0))))</f>
        <v>#VALUE!</v>
      </c>
      <c r="DWM3" s="28" t="e" cm="1" vm="1">
        <f t="array" ref="DWM3">_xlfn._xlws.FILTER(Rutas,_xlfn._xlws.FILTER($B$2:$B$10000,$B$2:$B$10000&lt;&gt;"")=VALUE(INDEX(IdClientes,MATCH(DWM2,Clientes,0))))</f>
        <v>#VALUE!</v>
      </c>
      <c r="DWN3" s="28" t="e" cm="1" vm="1">
        <f t="array" ref="DWN3">_xlfn._xlws.FILTER(Rutas,_xlfn._xlws.FILTER($B$2:$B$10000,$B$2:$B$10000&lt;&gt;"")=VALUE(INDEX(IdClientes,MATCH(DWN2,Clientes,0))))</f>
        <v>#VALUE!</v>
      </c>
      <c r="DWO3" s="28" t="e" cm="1" vm="1">
        <f t="array" ref="DWO3">_xlfn._xlws.FILTER(Rutas,_xlfn._xlws.FILTER($B$2:$B$10000,$B$2:$B$10000&lt;&gt;"")=VALUE(INDEX(IdClientes,MATCH(DWO2,Clientes,0))))</f>
        <v>#VALUE!</v>
      </c>
      <c r="DWP3" s="28" t="e" cm="1" vm="1">
        <f t="array" ref="DWP3">_xlfn._xlws.FILTER(Rutas,_xlfn._xlws.FILTER($B$2:$B$10000,$B$2:$B$10000&lt;&gt;"")=VALUE(INDEX(IdClientes,MATCH(DWP2,Clientes,0))))</f>
        <v>#VALUE!</v>
      </c>
      <c r="DWQ3" s="28" t="e" cm="1" vm="1">
        <f t="array" ref="DWQ3">_xlfn._xlws.FILTER(Rutas,_xlfn._xlws.FILTER($B$2:$B$10000,$B$2:$B$10000&lt;&gt;"")=VALUE(INDEX(IdClientes,MATCH(DWQ2,Clientes,0))))</f>
        <v>#VALUE!</v>
      </c>
      <c r="DWR3" s="28" t="e" cm="1" vm="1">
        <f t="array" ref="DWR3">_xlfn._xlws.FILTER(Rutas,_xlfn._xlws.FILTER($B$2:$B$10000,$B$2:$B$10000&lt;&gt;"")=VALUE(INDEX(IdClientes,MATCH(DWR2,Clientes,0))))</f>
        <v>#VALUE!</v>
      </c>
      <c r="DWS3" s="28" t="e" cm="1" vm="1">
        <f t="array" ref="DWS3">_xlfn._xlws.FILTER(Rutas,_xlfn._xlws.FILTER($B$2:$B$10000,$B$2:$B$10000&lt;&gt;"")=VALUE(INDEX(IdClientes,MATCH(DWS2,Clientes,0))))</f>
        <v>#VALUE!</v>
      </c>
      <c r="DWT3" s="28" t="e" cm="1" vm="1">
        <f t="array" ref="DWT3">_xlfn._xlws.FILTER(Rutas,_xlfn._xlws.FILTER($B$2:$B$10000,$B$2:$B$10000&lt;&gt;"")=VALUE(INDEX(IdClientes,MATCH(DWT2,Clientes,0))))</f>
        <v>#VALUE!</v>
      </c>
      <c r="DWU3" s="28" t="e" cm="1" vm="1">
        <f t="array" ref="DWU3">_xlfn._xlws.FILTER(Rutas,_xlfn._xlws.FILTER($B$2:$B$10000,$B$2:$B$10000&lt;&gt;"")=VALUE(INDEX(IdClientes,MATCH(DWU2,Clientes,0))))</f>
        <v>#VALUE!</v>
      </c>
      <c r="DWV3" s="28" t="e" cm="1" vm="1">
        <f t="array" ref="DWV3">_xlfn._xlws.FILTER(Rutas,_xlfn._xlws.FILTER($B$2:$B$10000,$B$2:$B$10000&lt;&gt;"")=VALUE(INDEX(IdClientes,MATCH(DWV2,Clientes,0))))</f>
        <v>#VALUE!</v>
      </c>
      <c r="DWW3" s="28" t="e" cm="1" vm="1">
        <f t="array" ref="DWW3">_xlfn._xlws.FILTER(Rutas,_xlfn._xlws.FILTER($B$2:$B$10000,$B$2:$B$10000&lt;&gt;"")=VALUE(INDEX(IdClientes,MATCH(DWW2,Clientes,0))))</f>
        <v>#VALUE!</v>
      </c>
      <c r="DWX3" s="28" t="e" cm="1" vm="1">
        <f t="array" ref="DWX3">_xlfn._xlws.FILTER(Rutas,_xlfn._xlws.FILTER($B$2:$B$10000,$B$2:$B$10000&lt;&gt;"")=VALUE(INDEX(IdClientes,MATCH(DWX2,Clientes,0))))</f>
        <v>#VALUE!</v>
      </c>
      <c r="DWY3" s="28" t="e" cm="1" vm="1">
        <f t="array" ref="DWY3">_xlfn._xlws.FILTER(Rutas,_xlfn._xlws.FILTER($B$2:$B$10000,$B$2:$B$10000&lt;&gt;"")=VALUE(INDEX(IdClientes,MATCH(DWY2,Clientes,0))))</f>
        <v>#VALUE!</v>
      </c>
      <c r="DWZ3" s="28" t="e" cm="1" vm="1">
        <f t="array" ref="DWZ3">_xlfn._xlws.FILTER(Rutas,_xlfn._xlws.FILTER($B$2:$B$10000,$B$2:$B$10000&lt;&gt;"")=VALUE(INDEX(IdClientes,MATCH(DWZ2,Clientes,0))))</f>
        <v>#VALUE!</v>
      </c>
      <c r="DXA3" s="28" t="e" cm="1" vm="1">
        <f t="array" ref="DXA3">_xlfn._xlws.FILTER(Rutas,_xlfn._xlws.FILTER($B$2:$B$10000,$B$2:$B$10000&lt;&gt;"")=VALUE(INDEX(IdClientes,MATCH(DXA2,Clientes,0))))</f>
        <v>#VALUE!</v>
      </c>
      <c r="DXB3" s="28" t="e" cm="1" vm="1">
        <f t="array" ref="DXB3">_xlfn._xlws.FILTER(Rutas,_xlfn._xlws.FILTER($B$2:$B$10000,$B$2:$B$10000&lt;&gt;"")=VALUE(INDEX(IdClientes,MATCH(DXB2,Clientes,0))))</f>
        <v>#VALUE!</v>
      </c>
      <c r="DXC3" s="28" t="e" cm="1" vm="1">
        <f t="array" ref="DXC3">_xlfn._xlws.FILTER(Rutas,_xlfn._xlws.FILTER($B$2:$B$10000,$B$2:$B$10000&lt;&gt;"")=VALUE(INDEX(IdClientes,MATCH(DXC2,Clientes,0))))</f>
        <v>#VALUE!</v>
      </c>
      <c r="DXD3" s="28" t="e" cm="1" vm="1">
        <f t="array" ref="DXD3">_xlfn._xlws.FILTER(Rutas,_xlfn._xlws.FILTER($B$2:$B$10000,$B$2:$B$10000&lt;&gt;"")=VALUE(INDEX(IdClientes,MATCH(DXD2,Clientes,0))))</f>
        <v>#VALUE!</v>
      </c>
      <c r="DXE3" s="28" t="e" cm="1" vm="1">
        <f t="array" ref="DXE3">_xlfn._xlws.FILTER(Rutas,_xlfn._xlws.FILTER($B$2:$B$10000,$B$2:$B$10000&lt;&gt;"")=VALUE(INDEX(IdClientes,MATCH(DXE2,Clientes,0))))</f>
        <v>#VALUE!</v>
      </c>
      <c r="DXF3" s="28" t="e" cm="1" vm="1">
        <f t="array" ref="DXF3">_xlfn._xlws.FILTER(Rutas,_xlfn._xlws.FILTER($B$2:$B$10000,$B$2:$B$10000&lt;&gt;"")=VALUE(INDEX(IdClientes,MATCH(DXF2,Clientes,0))))</f>
        <v>#VALUE!</v>
      </c>
      <c r="DXG3" s="28" t="e" cm="1" vm="1">
        <f t="array" ref="DXG3">_xlfn._xlws.FILTER(Rutas,_xlfn._xlws.FILTER($B$2:$B$10000,$B$2:$B$10000&lt;&gt;"")=VALUE(INDEX(IdClientes,MATCH(DXG2,Clientes,0))))</f>
        <v>#VALUE!</v>
      </c>
      <c r="DXH3" s="28" t="e" cm="1" vm="1">
        <f t="array" ref="DXH3">_xlfn._xlws.FILTER(Rutas,_xlfn._xlws.FILTER($B$2:$B$10000,$B$2:$B$10000&lt;&gt;"")=VALUE(INDEX(IdClientes,MATCH(DXH2,Clientes,0))))</f>
        <v>#VALUE!</v>
      </c>
      <c r="DXI3" s="28" t="e" cm="1" vm="1">
        <f t="array" ref="DXI3">_xlfn._xlws.FILTER(Rutas,_xlfn._xlws.FILTER($B$2:$B$10000,$B$2:$B$10000&lt;&gt;"")=VALUE(INDEX(IdClientes,MATCH(DXI2,Clientes,0))))</f>
        <v>#VALUE!</v>
      </c>
      <c r="DXJ3" s="28" t="e" cm="1" vm="1">
        <f t="array" ref="DXJ3">_xlfn._xlws.FILTER(Rutas,_xlfn._xlws.FILTER($B$2:$B$10000,$B$2:$B$10000&lt;&gt;"")=VALUE(INDEX(IdClientes,MATCH(DXJ2,Clientes,0))))</f>
        <v>#VALUE!</v>
      </c>
      <c r="DXK3" s="28" t="e" cm="1" vm="1">
        <f t="array" ref="DXK3">_xlfn._xlws.FILTER(Rutas,_xlfn._xlws.FILTER($B$2:$B$10000,$B$2:$B$10000&lt;&gt;"")=VALUE(INDEX(IdClientes,MATCH(DXK2,Clientes,0))))</f>
        <v>#VALUE!</v>
      </c>
      <c r="DXL3" s="28" t="e" cm="1" vm="1">
        <f t="array" ref="DXL3">_xlfn._xlws.FILTER(Rutas,_xlfn._xlws.FILTER($B$2:$B$10000,$B$2:$B$10000&lt;&gt;"")=VALUE(INDEX(IdClientes,MATCH(DXL2,Clientes,0))))</f>
        <v>#VALUE!</v>
      </c>
      <c r="DXM3" s="28" t="e" cm="1" vm="1">
        <f t="array" ref="DXM3">_xlfn._xlws.FILTER(Rutas,_xlfn._xlws.FILTER($B$2:$B$10000,$B$2:$B$10000&lt;&gt;"")=VALUE(INDEX(IdClientes,MATCH(DXM2,Clientes,0))))</f>
        <v>#VALUE!</v>
      </c>
      <c r="DXN3" s="28" t="e" cm="1" vm="1">
        <f t="array" ref="DXN3">_xlfn._xlws.FILTER(Rutas,_xlfn._xlws.FILTER($B$2:$B$10000,$B$2:$B$10000&lt;&gt;"")=VALUE(INDEX(IdClientes,MATCH(DXN2,Clientes,0))))</f>
        <v>#VALUE!</v>
      </c>
      <c r="DXO3" s="28" t="e" cm="1" vm="1">
        <f t="array" ref="DXO3">_xlfn._xlws.FILTER(Rutas,_xlfn._xlws.FILTER($B$2:$B$10000,$B$2:$B$10000&lt;&gt;"")=VALUE(INDEX(IdClientes,MATCH(DXO2,Clientes,0))))</f>
        <v>#VALUE!</v>
      </c>
      <c r="DXP3" s="28" t="e" cm="1" vm="1">
        <f t="array" ref="DXP3">_xlfn._xlws.FILTER(Rutas,_xlfn._xlws.FILTER($B$2:$B$10000,$B$2:$B$10000&lt;&gt;"")=VALUE(INDEX(IdClientes,MATCH(DXP2,Clientes,0))))</f>
        <v>#VALUE!</v>
      </c>
      <c r="DXQ3" s="28" t="e" cm="1" vm="1">
        <f t="array" ref="DXQ3">_xlfn._xlws.FILTER(Rutas,_xlfn._xlws.FILTER($B$2:$B$10000,$B$2:$B$10000&lt;&gt;"")=VALUE(INDEX(IdClientes,MATCH(DXQ2,Clientes,0))))</f>
        <v>#VALUE!</v>
      </c>
      <c r="DXR3" s="28" t="e" cm="1" vm="1">
        <f t="array" ref="DXR3">_xlfn._xlws.FILTER(Rutas,_xlfn._xlws.FILTER($B$2:$B$10000,$B$2:$B$10000&lt;&gt;"")=VALUE(INDEX(IdClientes,MATCH(DXR2,Clientes,0))))</f>
        <v>#VALUE!</v>
      </c>
      <c r="DXS3" s="28" t="e" cm="1" vm="1">
        <f t="array" ref="DXS3">_xlfn._xlws.FILTER(Rutas,_xlfn._xlws.FILTER($B$2:$B$10000,$B$2:$B$10000&lt;&gt;"")=VALUE(INDEX(IdClientes,MATCH(DXS2,Clientes,0))))</f>
        <v>#VALUE!</v>
      </c>
      <c r="DXT3" s="28" t="e" cm="1" vm="1">
        <f t="array" ref="DXT3">_xlfn._xlws.FILTER(Rutas,_xlfn._xlws.FILTER($B$2:$B$10000,$B$2:$B$10000&lt;&gt;"")=VALUE(INDEX(IdClientes,MATCH(DXT2,Clientes,0))))</f>
        <v>#VALUE!</v>
      </c>
      <c r="DXU3" s="28" t="e" cm="1" vm="1">
        <f t="array" ref="DXU3">_xlfn._xlws.FILTER(Rutas,_xlfn._xlws.FILTER($B$2:$B$10000,$B$2:$B$10000&lt;&gt;"")=VALUE(INDEX(IdClientes,MATCH(DXU2,Clientes,0))))</f>
        <v>#VALUE!</v>
      </c>
      <c r="DXV3" s="28" t="e" cm="1" vm="1">
        <f t="array" ref="DXV3">_xlfn._xlws.FILTER(Rutas,_xlfn._xlws.FILTER($B$2:$B$10000,$B$2:$B$10000&lt;&gt;"")=VALUE(INDEX(IdClientes,MATCH(DXV2,Clientes,0))))</f>
        <v>#VALUE!</v>
      </c>
      <c r="DXW3" s="28" t="e" cm="1" vm="1">
        <f t="array" ref="DXW3">_xlfn._xlws.FILTER(Rutas,_xlfn._xlws.FILTER($B$2:$B$10000,$B$2:$B$10000&lt;&gt;"")=VALUE(INDEX(IdClientes,MATCH(DXW2,Clientes,0))))</f>
        <v>#VALUE!</v>
      </c>
      <c r="DXX3" s="28" t="e" cm="1" vm="1">
        <f t="array" ref="DXX3">_xlfn._xlws.FILTER(Rutas,_xlfn._xlws.FILTER($B$2:$B$10000,$B$2:$B$10000&lt;&gt;"")=VALUE(INDEX(IdClientes,MATCH(DXX2,Clientes,0))))</f>
        <v>#VALUE!</v>
      </c>
      <c r="DXY3" s="28" t="e" cm="1" vm="1">
        <f t="array" ref="DXY3">_xlfn._xlws.FILTER(Rutas,_xlfn._xlws.FILTER($B$2:$B$10000,$B$2:$B$10000&lt;&gt;"")=VALUE(INDEX(IdClientes,MATCH(DXY2,Clientes,0))))</f>
        <v>#VALUE!</v>
      </c>
      <c r="DXZ3" s="28" t="e" cm="1" vm="1">
        <f t="array" ref="DXZ3">_xlfn._xlws.FILTER(Rutas,_xlfn._xlws.FILTER($B$2:$B$10000,$B$2:$B$10000&lt;&gt;"")=VALUE(INDEX(IdClientes,MATCH(DXZ2,Clientes,0))))</f>
        <v>#VALUE!</v>
      </c>
      <c r="DYA3" s="28" t="e" cm="1" vm="1">
        <f t="array" ref="DYA3">_xlfn._xlws.FILTER(Rutas,_xlfn._xlws.FILTER($B$2:$B$10000,$B$2:$B$10000&lt;&gt;"")=VALUE(INDEX(IdClientes,MATCH(DYA2,Clientes,0))))</f>
        <v>#VALUE!</v>
      </c>
      <c r="DYB3" s="28" t="e" cm="1" vm="1">
        <f t="array" ref="DYB3">_xlfn._xlws.FILTER(Rutas,_xlfn._xlws.FILTER($B$2:$B$10000,$B$2:$B$10000&lt;&gt;"")=VALUE(INDEX(IdClientes,MATCH(DYB2,Clientes,0))))</f>
        <v>#VALUE!</v>
      </c>
      <c r="DYC3" s="28" t="e" cm="1" vm="1">
        <f t="array" ref="DYC3">_xlfn._xlws.FILTER(Rutas,_xlfn._xlws.FILTER($B$2:$B$10000,$B$2:$B$10000&lt;&gt;"")=VALUE(INDEX(IdClientes,MATCH(DYC2,Clientes,0))))</f>
        <v>#VALUE!</v>
      </c>
      <c r="DYD3" s="28" t="e" cm="1" vm="1">
        <f t="array" ref="DYD3">_xlfn._xlws.FILTER(Rutas,_xlfn._xlws.FILTER($B$2:$B$10000,$B$2:$B$10000&lt;&gt;"")=VALUE(INDEX(IdClientes,MATCH(DYD2,Clientes,0))))</f>
        <v>#VALUE!</v>
      </c>
      <c r="DYE3" s="28" t="e" cm="1" vm="1">
        <f t="array" ref="DYE3">_xlfn._xlws.FILTER(Rutas,_xlfn._xlws.FILTER($B$2:$B$10000,$B$2:$B$10000&lt;&gt;"")=VALUE(INDEX(IdClientes,MATCH(DYE2,Clientes,0))))</f>
        <v>#VALUE!</v>
      </c>
      <c r="DYF3" s="28" t="e" cm="1" vm="1">
        <f t="array" ref="DYF3">_xlfn._xlws.FILTER(Rutas,_xlfn._xlws.FILTER($B$2:$B$10000,$B$2:$B$10000&lt;&gt;"")=VALUE(INDEX(IdClientes,MATCH(DYF2,Clientes,0))))</f>
        <v>#VALUE!</v>
      </c>
      <c r="DYG3" s="28" t="e" cm="1" vm="1">
        <f t="array" ref="DYG3">_xlfn._xlws.FILTER(Rutas,_xlfn._xlws.FILTER($B$2:$B$10000,$B$2:$B$10000&lt;&gt;"")=VALUE(INDEX(IdClientes,MATCH(DYG2,Clientes,0))))</f>
        <v>#VALUE!</v>
      </c>
      <c r="DYH3" s="28" t="e" cm="1" vm="1">
        <f t="array" ref="DYH3">_xlfn._xlws.FILTER(Rutas,_xlfn._xlws.FILTER($B$2:$B$10000,$B$2:$B$10000&lt;&gt;"")=VALUE(INDEX(IdClientes,MATCH(DYH2,Clientes,0))))</f>
        <v>#VALUE!</v>
      </c>
      <c r="DYI3" s="28" t="e" cm="1" vm="1">
        <f t="array" ref="DYI3">_xlfn._xlws.FILTER(Rutas,_xlfn._xlws.FILTER($B$2:$B$10000,$B$2:$B$10000&lt;&gt;"")=VALUE(INDEX(IdClientes,MATCH(DYI2,Clientes,0))))</f>
        <v>#VALUE!</v>
      </c>
      <c r="DYJ3" s="28" t="e" cm="1" vm="1">
        <f t="array" ref="DYJ3">_xlfn._xlws.FILTER(Rutas,_xlfn._xlws.FILTER($B$2:$B$10000,$B$2:$B$10000&lt;&gt;"")=VALUE(INDEX(IdClientes,MATCH(DYJ2,Clientes,0))))</f>
        <v>#VALUE!</v>
      </c>
      <c r="DYK3" s="28" t="e" cm="1" vm="1">
        <f t="array" ref="DYK3">_xlfn._xlws.FILTER(Rutas,_xlfn._xlws.FILTER($B$2:$B$10000,$B$2:$B$10000&lt;&gt;"")=VALUE(INDEX(IdClientes,MATCH(DYK2,Clientes,0))))</f>
        <v>#VALUE!</v>
      </c>
      <c r="DYL3" s="28" t="e" cm="1" vm="1">
        <f t="array" ref="DYL3">_xlfn._xlws.FILTER(Rutas,_xlfn._xlws.FILTER($B$2:$B$10000,$B$2:$B$10000&lt;&gt;"")=VALUE(INDEX(IdClientes,MATCH(DYL2,Clientes,0))))</f>
        <v>#VALUE!</v>
      </c>
      <c r="DYM3" s="28" t="e" cm="1" vm="1">
        <f t="array" ref="DYM3">_xlfn._xlws.FILTER(Rutas,_xlfn._xlws.FILTER($B$2:$B$10000,$B$2:$B$10000&lt;&gt;"")=VALUE(INDEX(IdClientes,MATCH(DYM2,Clientes,0))))</f>
        <v>#VALUE!</v>
      </c>
      <c r="DYN3" s="28" t="e" cm="1" vm="1">
        <f t="array" ref="DYN3">_xlfn._xlws.FILTER(Rutas,_xlfn._xlws.FILTER($B$2:$B$10000,$B$2:$B$10000&lt;&gt;"")=VALUE(INDEX(IdClientes,MATCH(DYN2,Clientes,0))))</f>
        <v>#VALUE!</v>
      </c>
      <c r="DYO3" s="28" t="e" cm="1" vm="1">
        <f t="array" ref="DYO3">_xlfn._xlws.FILTER(Rutas,_xlfn._xlws.FILTER($B$2:$B$10000,$B$2:$B$10000&lt;&gt;"")=VALUE(INDEX(IdClientes,MATCH(DYO2,Clientes,0))))</f>
        <v>#VALUE!</v>
      </c>
      <c r="DYP3" s="28" t="e" cm="1" vm="1">
        <f t="array" ref="DYP3">_xlfn._xlws.FILTER(Rutas,_xlfn._xlws.FILTER($B$2:$B$10000,$B$2:$B$10000&lt;&gt;"")=VALUE(INDEX(IdClientes,MATCH(DYP2,Clientes,0))))</f>
        <v>#VALUE!</v>
      </c>
      <c r="DYQ3" s="28" t="e" cm="1" vm="1">
        <f t="array" ref="DYQ3">_xlfn._xlws.FILTER(Rutas,_xlfn._xlws.FILTER($B$2:$B$10000,$B$2:$B$10000&lt;&gt;"")=VALUE(INDEX(IdClientes,MATCH(DYQ2,Clientes,0))))</f>
        <v>#VALUE!</v>
      </c>
      <c r="DYR3" s="28" t="e" cm="1" vm="1">
        <f t="array" ref="DYR3">_xlfn._xlws.FILTER(Rutas,_xlfn._xlws.FILTER($B$2:$B$10000,$B$2:$B$10000&lt;&gt;"")=VALUE(INDEX(IdClientes,MATCH(DYR2,Clientes,0))))</f>
        <v>#VALUE!</v>
      </c>
      <c r="DYS3" s="28" t="e" cm="1" vm="1">
        <f t="array" ref="DYS3">_xlfn._xlws.FILTER(Rutas,_xlfn._xlws.FILTER($B$2:$B$10000,$B$2:$B$10000&lt;&gt;"")=VALUE(INDEX(IdClientes,MATCH(DYS2,Clientes,0))))</f>
        <v>#VALUE!</v>
      </c>
      <c r="DYT3" s="28" t="e" cm="1" vm="1">
        <f t="array" ref="DYT3">_xlfn._xlws.FILTER(Rutas,_xlfn._xlws.FILTER($B$2:$B$10000,$B$2:$B$10000&lt;&gt;"")=VALUE(INDEX(IdClientes,MATCH(DYT2,Clientes,0))))</f>
        <v>#VALUE!</v>
      </c>
      <c r="DYU3" s="28" t="e" cm="1" vm="1">
        <f t="array" ref="DYU3">_xlfn._xlws.FILTER(Rutas,_xlfn._xlws.FILTER($B$2:$B$10000,$B$2:$B$10000&lt;&gt;"")=VALUE(INDEX(IdClientes,MATCH(DYU2,Clientes,0))))</f>
        <v>#VALUE!</v>
      </c>
      <c r="DYV3" s="28" t="e" cm="1" vm="1">
        <f t="array" ref="DYV3">_xlfn._xlws.FILTER(Rutas,_xlfn._xlws.FILTER($B$2:$B$10000,$B$2:$B$10000&lt;&gt;"")=VALUE(INDEX(IdClientes,MATCH(DYV2,Clientes,0))))</f>
        <v>#VALUE!</v>
      </c>
      <c r="DYW3" s="28" t="e" cm="1" vm="1">
        <f t="array" ref="DYW3">_xlfn._xlws.FILTER(Rutas,_xlfn._xlws.FILTER($B$2:$B$10000,$B$2:$B$10000&lt;&gt;"")=VALUE(INDEX(IdClientes,MATCH(DYW2,Clientes,0))))</f>
        <v>#VALUE!</v>
      </c>
      <c r="DYX3" s="28" t="e" cm="1" vm="1">
        <f t="array" ref="DYX3">_xlfn._xlws.FILTER(Rutas,_xlfn._xlws.FILTER($B$2:$B$10000,$B$2:$B$10000&lt;&gt;"")=VALUE(INDEX(IdClientes,MATCH(DYX2,Clientes,0))))</f>
        <v>#VALUE!</v>
      </c>
      <c r="DYY3" s="28" t="e" cm="1" vm="1">
        <f t="array" ref="DYY3">_xlfn._xlws.FILTER(Rutas,_xlfn._xlws.FILTER($B$2:$B$10000,$B$2:$B$10000&lt;&gt;"")=VALUE(INDEX(IdClientes,MATCH(DYY2,Clientes,0))))</f>
        <v>#VALUE!</v>
      </c>
      <c r="DYZ3" s="28" t="e" cm="1" vm="1">
        <f t="array" ref="DYZ3">_xlfn._xlws.FILTER(Rutas,_xlfn._xlws.FILTER($B$2:$B$10000,$B$2:$B$10000&lt;&gt;"")=VALUE(INDEX(IdClientes,MATCH(DYZ2,Clientes,0))))</f>
        <v>#VALUE!</v>
      </c>
      <c r="DZA3" s="28" t="e" cm="1" vm="1">
        <f t="array" ref="DZA3">_xlfn._xlws.FILTER(Rutas,_xlfn._xlws.FILTER($B$2:$B$10000,$B$2:$B$10000&lt;&gt;"")=VALUE(INDEX(IdClientes,MATCH(DZA2,Clientes,0))))</f>
        <v>#VALUE!</v>
      </c>
      <c r="DZB3" s="28" t="e" cm="1" vm="1">
        <f t="array" ref="DZB3">_xlfn._xlws.FILTER(Rutas,_xlfn._xlws.FILTER($B$2:$B$10000,$B$2:$B$10000&lt;&gt;"")=VALUE(INDEX(IdClientes,MATCH(DZB2,Clientes,0))))</f>
        <v>#VALUE!</v>
      </c>
      <c r="DZC3" s="28" t="e" cm="1" vm="1">
        <f t="array" ref="DZC3">_xlfn._xlws.FILTER(Rutas,_xlfn._xlws.FILTER($B$2:$B$10000,$B$2:$B$10000&lt;&gt;"")=VALUE(INDEX(IdClientes,MATCH(DZC2,Clientes,0))))</f>
        <v>#VALUE!</v>
      </c>
      <c r="DZD3" s="28" t="e" cm="1" vm="1">
        <f t="array" ref="DZD3">_xlfn._xlws.FILTER(Rutas,_xlfn._xlws.FILTER($B$2:$B$10000,$B$2:$B$10000&lt;&gt;"")=VALUE(INDEX(IdClientes,MATCH(DZD2,Clientes,0))))</f>
        <v>#VALUE!</v>
      </c>
      <c r="DZE3" s="28" t="e" cm="1" vm="1">
        <f t="array" ref="DZE3">_xlfn._xlws.FILTER(Rutas,_xlfn._xlws.FILTER($B$2:$B$10000,$B$2:$B$10000&lt;&gt;"")=VALUE(INDEX(IdClientes,MATCH(DZE2,Clientes,0))))</f>
        <v>#VALUE!</v>
      </c>
      <c r="DZF3" s="28" t="e" cm="1" vm="1">
        <f t="array" ref="DZF3">_xlfn._xlws.FILTER(Rutas,_xlfn._xlws.FILTER($B$2:$B$10000,$B$2:$B$10000&lt;&gt;"")=VALUE(INDEX(IdClientes,MATCH(DZF2,Clientes,0))))</f>
        <v>#VALUE!</v>
      </c>
      <c r="DZG3" s="28" t="e" cm="1" vm="1">
        <f t="array" ref="DZG3">_xlfn._xlws.FILTER(Rutas,_xlfn._xlws.FILTER($B$2:$B$10000,$B$2:$B$10000&lt;&gt;"")=VALUE(INDEX(IdClientes,MATCH(DZG2,Clientes,0))))</f>
        <v>#VALUE!</v>
      </c>
      <c r="DZH3" s="28" t="e" cm="1" vm="1">
        <f t="array" ref="DZH3">_xlfn._xlws.FILTER(Rutas,_xlfn._xlws.FILTER($B$2:$B$10000,$B$2:$B$10000&lt;&gt;"")=VALUE(INDEX(IdClientes,MATCH(DZH2,Clientes,0))))</f>
        <v>#VALUE!</v>
      </c>
      <c r="DZI3" s="28" t="e" cm="1" vm="1">
        <f t="array" ref="DZI3">_xlfn._xlws.FILTER(Rutas,_xlfn._xlws.FILTER($B$2:$B$10000,$B$2:$B$10000&lt;&gt;"")=VALUE(INDEX(IdClientes,MATCH(DZI2,Clientes,0))))</f>
        <v>#VALUE!</v>
      </c>
      <c r="DZJ3" s="28" t="e" cm="1" vm="1">
        <f t="array" ref="DZJ3">_xlfn._xlws.FILTER(Rutas,_xlfn._xlws.FILTER($B$2:$B$10000,$B$2:$B$10000&lt;&gt;"")=VALUE(INDEX(IdClientes,MATCH(DZJ2,Clientes,0))))</f>
        <v>#VALUE!</v>
      </c>
      <c r="DZK3" s="28" t="e" cm="1" vm="1">
        <f t="array" ref="DZK3">_xlfn._xlws.FILTER(Rutas,_xlfn._xlws.FILTER($B$2:$B$10000,$B$2:$B$10000&lt;&gt;"")=VALUE(INDEX(IdClientes,MATCH(DZK2,Clientes,0))))</f>
        <v>#VALUE!</v>
      </c>
      <c r="DZL3" s="28" t="e" cm="1" vm="1">
        <f t="array" ref="DZL3">_xlfn._xlws.FILTER(Rutas,_xlfn._xlws.FILTER($B$2:$B$10000,$B$2:$B$10000&lt;&gt;"")=VALUE(INDEX(IdClientes,MATCH(DZL2,Clientes,0))))</f>
        <v>#VALUE!</v>
      </c>
      <c r="DZM3" s="28" t="e" cm="1" vm="1">
        <f t="array" ref="DZM3">_xlfn._xlws.FILTER(Rutas,_xlfn._xlws.FILTER($B$2:$B$10000,$B$2:$B$10000&lt;&gt;"")=VALUE(INDEX(IdClientes,MATCH(DZM2,Clientes,0))))</f>
        <v>#VALUE!</v>
      </c>
      <c r="DZN3" s="28" t="e" cm="1" vm="1">
        <f t="array" ref="DZN3">_xlfn._xlws.FILTER(Rutas,_xlfn._xlws.FILTER($B$2:$B$10000,$B$2:$B$10000&lt;&gt;"")=VALUE(INDEX(IdClientes,MATCH(DZN2,Clientes,0))))</f>
        <v>#VALUE!</v>
      </c>
      <c r="DZO3" s="28" t="e" cm="1" vm="1">
        <f t="array" ref="DZO3">_xlfn._xlws.FILTER(Rutas,_xlfn._xlws.FILTER($B$2:$B$10000,$B$2:$B$10000&lt;&gt;"")=VALUE(INDEX(IdClientes,MATCH(DZO2,Clientes,0))))</f>
        <v>#VALUE!</v>
      </c>
      <c r="DZP3" s="28" t="e" cm="1" vm="1">
        <f t="array" ref="DZP3">_xlfn._xlws.FILTER(Rutas,_xlfn._xlws.FILTER($B$2:$B$10000,$B$2:$B$10000&lt;&gt;"")=VALUE(INDEX(IdClientes,MATCH(DZP2,Clientes,0))))</f>
        <v>#VALUE!</v>
      </c>
      <c r="DZQ3" s="28" t="e" cm="1" vm="1">
        <f t="array" ref="DZQ3">_xlfn._xlws.FILTER(Rutas,_xlfn._xlws.FILTER($B$2:$B$10000,$B$2:$B$10000&lt;&gt;"")=VALUE(INDEX(IdClientes,MATCH(DZQ2,Clientes,0))))</f>
        <v>#VALUE!</v>
      </c>
      <c r="DZR3" s="28" t="e" cm="1" vm="1">
        <f t="array" ref="DZR3">_xlfn._xlws.FILTER(Rutas,_xlfn._xlws.FILTER($B$2:$B$10000,$B$2:$B$10000&lt;&gt;"")=VALUE(INDEX(IdClientes,MATCH(DZR2,Clientes,0))))</f>
        <v>#VALUE!</v>
      </c>
      <c r="DZS3" s="28" t="e" cm="1" vm="1">
        <f t="array" ref="DZS3">_xlfn._xlws.FILTER(Rutas,_xlfn._xlws.FILTER($B$2:$B$10000,$B$2:$B$10000&lt;&gt;"")=VALUE(INDEX(IdClientes,MATCH(DZS2,Clientes,0))))</f>
        <v>#VALUE!</v>
      </c>
      <c r="DZT3" s="28" t="e" cm="1" vm="1">
        <f t="array" ref="DZT3">_xlfn._xlws.FILTER(Rutas,_xlfn._xlws.FILTER($B$2:$B$10000,$B$2:$B$10000&lt;&gt;"")=VALUE(INDEX(IdClientes,MATCH(DZT2,Clientes,0))))</f>
        <v>#VALUE!</v>
      </c>
      <c r="DZU3" s="28" t="e" cm="1" vm="1">
        <f t="array" ref="DZU3">_xlfn._xlws.FILTER(Rutas,_xlfn._xlws.FILTER($B$2:$B$10000,$B$2:$B$10000&lt;&gt;"")=VALUE(INDEX(IdClientes,MATCH(DZU2,Clientes,0))))</f>
        <v>#VALUE!</v>
      </c>
      <c r="DZV3" s="28" t="e" cm="1" vm="1">
        <f t="array" ref="DZV3">_xlfn._xlws.FILTER(Rutas,_xlfn._xlws.FILTER($B$2:$B$10000,$B$2:$B$10000&lt;&gt;"")=VALUE(INDEX(IdClientes,MATCH(DZV2,Clientes,0))))</f>
        <v>#VALUE!</v>
      </c>
      <c r="DZW3" s="28" t="e" cm="1" vm="1">
        <f t="array" ref="DZW3">_xlfn._xlws.FILTER(Rutas,_xlfn._xlws.FILTER($B$2:$B$10000,$B$2:$B$10000&lt;&gt;"")=VALUE(INDEX(IdClientes,MATCH(DZW2,Clientes,0))))</f>
        <v>#VALUE!</v>
      </c>
      <c r="DZX3" s="28" t="e" cm="1" vm="1">
        <f t="array" ref="DZX3">_xlfn._xlws.FILTER(Rutas,_xlfn._xlws.FILTER($B$2:$B$10000,$B$2:$B$10000&lt;&gt;"")=VALUE(INDEX(IdClientes,MATCH(DZX2,Clientes,0))))</f>
        <v>#VALUE!</v>
      </c>
      <c r="DZY3" s="28" t="e" cm="1" vm="1">
        <f t="array" ref="DZY3">_xlfn._xlws.FILTER(Rutas,_xlfn._xlws.FILTER($B$2:$B$10000,$B$2:$B$10000&lt;&gt;"")=VALUE(INDEX(IdClientes,MATCH(DZY2,Clientes,0))))</f>
        <v>#VALUE!</v>
      </c>
      <c r="DZZ3" s="28" t="e" cm="1" vm="1">
        <f t="array" ref="DZZ3">_xlfn._xlws.FILTER(Rutas,_xlfn._xlws.FILTER($B$2:$B$10000,$B$2:$B$10000&lt;&gt;"")=VALUE(INDEX(IdClientes,MATCH(DZZ2,Clientes,0))))</f>
        <v>#VALUE!</v>
      </c>
      <c r="EAA3" s="28" t="e" cm="1" vm="1">
        <f t="array" ref="EAA3">_xlfn._xlws.FILTER(Rutas,_xlfn._xlws.FILTER($B$2:$B$10000,$B$2:$B$10000&lt;&gt;"")=VALUE(INDEX(IdClientes,MATCH(EAA2,Clientes,0))))</f>
        <v>#VALUE!</v>
      </c>
      <c r="EAB3" s="28" t="e" cm="1" vm="1">
        <f t="array" ref="EAB3">_xlfn._xlws.FILTER(Rutas,_xlfn._xlws.FILTER($B$2:$B$10000,$B$2:$B$10000&lt;&gt;"")=VALUE(INDEX(IdClientes,MATCH(EAB2,Clientes,0))))</f>
        <v>#VALUE!</v>
      </c>
      <c r="EAC3" s="28" t="e" cm="1" vm="1">
        <f t="array" ref="EAC3">_xlfn._xlws.FILTER(Rutas,_xlfn._xlws.FILTER($B$2:$B$10000,$B$2:$B$10000&lt;&gt;"")=VALUE(INDEX(IdClientes,MATCH(EAC2,Clientes,0))))</f>
        <v>#VALUE!</v>
      </c>
      <c r="EAD3" s="28" t="e" cm="1" vm="1">
        <f t="array" ref="EAD3">_xlfn._xlws.FILTER(Rutas,_xlfn._xlws.FILTER($B$2:$B$10000,$B$2:$B$10000&lt;&gt;"")=VALUE(INDEX(IdClientes,MATCH(EAD2,Clientes,0))))</f>
        <v>#VALUE!</v>
      </c>
      <c r="EAE3" s="28" t="e" cm="1" vm="1">
        <f t="array" ref="EAE3">_xlfn._xlws.FILTER(Rutas,_xlfn._xlws.FILTER($B$2:$B$10000,$B$2:$B$10000&lt;&gt;"")=VALUE(INDEX(IdClientes,MATCH(EAE2,Clientes,0))))</f>
        <v>#VALUE!</v>
      </c>
      <c r="EAF3" s="28" t="e" cm="1" vm="1">
        <f t="array" ref="EAF3">_xlfn._xlws.FILTER(Rutas,_xlfn._xlws.FILTER($B$2:$B$10000,$B$2:$B$10000&lt;&gt;"")=VALUE(INDEX(IdClientes,MATCH(EAF2,Clientes,0))))</f>
        <v>#VALUE!</v>
      </c>
      <c r="EAG3" s="28" t="e" cm="1" vm="1">
        <f t="array" ref="EAG3">_xlfn._xlws.FILTER(Rutas,_xlfn._xlws.FILTER($B$2:$B$10000,$B$2:$B$10000&lt;&gt;"")=VALUE(INDEX(IdClientes,MATCH(EAG2,Clientes,0))))</f>
        <v>#VALUE!</v>
      </c>
      <c r="EAH3" s="28" t="e" cm="1" vm="1">
        <f t="array" ref="EAH3">_xlfn._xlws.FILTER(Rutas,_xlfn._xlws.FILTER($B$2:$B$10000,$B$2:$B$10000&lt;&gt;"")=VALUE(INDEX(IdClientes,MATCH(EAH2,Clientes,0))))</f>
        <v>#VALUE!</v>
      </c>
      <c r="EAI3" s="28" t="e" cm="1" vm="1">
        <f t="array" ref="EAI3">_xlfn._xlws.FILTER(Rutas,_xlfn._xlws.FILTER($B$2:$B$10000,$B$2:$B$10000&lt;&gt;"")=VALUE(INDEX(IdClientes,MATCH(EAI2,Clientes,0))))</f>
        <v>#VALUE!</v>
      </c>
      <c r="EAJ3" s="28" t="e" cm="1" vm="1">
        <f t="array" ref="EAJ3">_xlfn._xlws.FILTER(Rutas,_xlfn._xlws.FILTER($B$2:$B$10000,$B$2:$B$10000&lt;&gt;"")=VALUE(INDEX(IdClientes,MATCH(EAJ2,Clientes,0))))</f>
        <v>#VALUE!</v>
      </c>
      <c r="EAK3" s="28" t="e" cm="1" vm="1">
        <f t="array" ref="EAK3">_xlfn._xlws.FILTER(Rutas,_xlfn._xlws.FILTER($B$2:$B$10000,$B$2:$B$10000&lt;&gt;"")=VALUE(INDEX(IdClientes,MATCH(EAK2,Clientes,0))))</f>
        <v>#VALUE!</v>
      </c>
      <c r="EAL3" s="28" t="e" cm="1" vm="1">
        <f t="array" ref="EAL3">_xlfn._xlws.FILTER(Rutas,_xlfn._xlws.FILTER($B$2:$B$10000,$B$2:$B$10000&lt;&gt;"")=VALUE(INDEX(IdClientes,MATCH(EAL2,Clientes,0))))</f>
        <v>#VALUE!</v>
      </c>
      <c r="EAM3" s="28" t="e" cm="1" vm="1">
        <f t="array" ref="EAM3">_xlfn._xlws.FILTER(Rutas,_xlfn._xlws.FILTER($B$2:$B$10000,$B$2:$B$10000&lt;&gt;"")=VALUE(INDEX(IdClientes,MATCH(EAM2,Clientes,0))))</f>
        <v>#VALUE!</v>
      </c>
      <c r="EAN3" s="28" t="e" cm="1" vm="1">
        <f t="array" ref="EAN3">_xlfn._xlws.FILTER(Rutas,_xlfn._xlws.FILTER($B$2:$B$10000,$B$2:$B$10000&lt;&gt;"")=VALUE(INDEX(IdClientes,MATCH(EAN2,Clientes,0))))</f>
        <v>#VALUE!</v>
      </c>
      <c r="EAO3" s="28" t="e" cm="1" vm="1">
        <f t="array" ref="EAO3">_xlfn._xlws.FILTER(Rutas,_xlfn._xlws.FILTER($B$2:$B$10000,$B$2:$B$10000&lt;&gt;"")=VALUE(INDEX(IdClientes,MATCH(EAO2,Clientes,0))))</f>
        <v>#VALUE!</v>
      </c>
      <c r="EAP3" s="28" t="e" cm="1" vm="1">
        <f t="array" ref="EAP3">_xlfn._xlws.FILTER(Rutas,_xlfn._xlws.FILTER($B$2:$B$10000,$B$2:$B$10000&lt;&gt;"")=VALUE(INDEX(IdClientes,MATCH(EAP2,Clientes,0))))</f>
        <v>#VALUE!</v>
      </c>
      <c r="EAQ3" s="28" t="e" cm="1" vm="1">
        <f t="array" ref="EAQ3">_xlfn._xlws.FILTER(Rutas,_xlfn._xlws.FILTER($B$2:$B$10000,$B$2:$B$10000&lt;&gt;"")=VALUE(INDEX(IdClientes,MATCH(EAQ2,Clientes,0))))</f>
        <v>#VALUE!</v>
      </c>
      <c r="EAR3" s="28" t="e" cm="1" vm="1">
        <f t="array" ref="EAR3">_xlfn._xlws.FILTER(Rutas,_xlfn._xlws.FILTER($B$2:$B$10000,$B$2:$B$10000&lt;&gt;"")=VALUE(INDEX(IdClientes,MATCH(EAR2,Clientes,0))))</f>
        <v>#VALUE!</v>
      </c>
      <c r="EAS3" s="28" t="e" cm="1" vm="1">
        <f t="array" ref="EAS3">_xlfn._xlws.FILTER(Rutas,_xlfn._xlws.FILTER($B$2:$B$10000,$B$2:$B$10000&lt;&gt;"")=VALUE(INDEX(IdClientes,MATCH(EAS2,Clientes,0))))</f>
        <v>#VALUE!</v>
      </c>
      <c r="EAT3" s="28" t="e" cm="1" vm="1">
        <f t="array" ref="EAT3">_xlfn._xlws.FILTER(Rutas,_xlfn._xlws.FILTER($B$2:$B$10000,$B$2:$B$10000&lt;&gt;"")=VALUE(INDEX(IdClientes,MATCH(EAT2,Clientes,0))))</f>
        <v>#VALUE!</v>
      </c>
      <c r="EAU3" s="28" t="e" cm="1" vm="1">
        <f t="array" ref="EAU3">_xlfn._xlws.FILTER(Rutas,_xlfn._xlws.FILTER($B$2:$B$10000,$B$2:$B$10000&lt;&gt;"")=VALUE(INDEX(IdClientes,MATCH(EAU2,Clientes,0))))</f>
        <v>#VALUE!</v>
      </c>
      <c r="EAV3" s="28" t="e" cm="1" vm="1">
        <f t="array" ref="EAV3">_xlfn._xlws.FILTER(Rutas,_xlfn._xlws.FILTER($B$2:$B$10000,$B$2:$B$10000&lt;&gt;"")=VALUE(INDEX(IdClientes,MATCH(EAV2,Clientes,0))))</f>
        <v>#VALUE!</v>
      </c>
      <c r="EAW3" s="28" t="e" cm="1" vm="1">
        <f t="array" ref="EAW3">_xlfn._xlws.FILTER(Rutas,_xlfn._xlws.FILTER($B$2:$B$10000,$B$2:$B$10000&lt;&gt;"")=VALUE(INDEX(IdClientes,MATCH(EAW2,Clientes,0))))</f>
        <v>#VALUE!</v>
      </c>
      <c r="EAX3" s="28" t="e" cm="1" vm="1">
        <f t="array" ref="EAX3">_xlfn._xlws.FILTER(Rutas,_xlfn._xlws.FILTER($B$2:$B$10000,$B$2:$B$10000&lt;&gt;"")=VALUE(INDEX(IdClientes,MATCH(EAX2,Clientes,0))))</f>
        <v>#VALUE!</v>
      </c>
      <c r="EAY3" s="28" t="e" cm="1" vm="1">
        <f t="array" ref="EAY3">_xlfn._xlws.FILTER(Rutas,_xlfn._xlws.FILTER($B$2:$B$10000,$B$2:$B$10000&lt;&gt;"")=VALUE(INDEX(IdClientes,MATCH(EAY2,Clientes,0))))</f>
        <v>#VALUE!</v>
      </c>
      <c r="EAZ3" s="28" t="e" cm="1" vm="1">
        <f t="array" ref="EAZ3">_xlfn._xlws.FILTER(Rutas,_xlfn._xlws.FILTER($B$2:$B$10000,$B$2:$B$10000&lt;&gt;"")=VALUE(INDEX(IdClientes,MATCH(EAZ2,Clientes,0))))</f>
        <v>#VALUE!</v>
      </c>
      <c r="EBA3" s="28" t="e" cm="1" vm="1">
        <f t="array" ref="EBA3">_xlfn._xlws.FILTER(Rutas,_xlfn._xlws.FILTER($B$2:$B$10000,$B$2:$B$10000&lt;&gt;"")=VALUE(INDEX(IdClientes,MATCH(EBA2,Clientes,0))))</f>
        <v>#VALUE!</v>
      </c>
      <c r="EBB3" s="28" t="e" cm="1" vm="1">
        <f t="array" ref="EBB3">_xlfn._xlws.FILTER(Rutas,_xlfn._xlws.FILTER($B$2:$B$10000,$B$2:$B$10000&lt;&gt;"")=VALUE(INDEX(IdClientes,MATCH(EBB2,Clientes,0))))</f>
        <v>#VALUE!</v>
      </c>
      <c r="EBC3" s="28" t="e" cm="1" vm="1">
        <f t="array" ref="EBC3">_xlfn._xlws.FILTER(Rutas,_xlfn._xlws.FILTER($B$2:$B$10000,$B$2:$B$10000&lt;&gt;"")=VALUE(INDEX(IdClientes,MATCH(EBC2,Clientes,0))))</f>
        <v>#VALUE!</v>
      </c>
      <c r="EBD3" s="28" t="e" cm="1" vm="1">
        <f t="array" ref="EBD3">_xlfn._xlws.FILTER(Rutas,_xlfn._xlws.FILTER($B$2:$B$10000,$B$2:$B$10000&lt;&gt;"")=VALUE(INDEX(IdClientes,MATCH(EBD2,Clientes,0))))</f>
        <v>#VALUE!</v>
      </c>
      <c r="EBE3" s="28" t="e" cm="1" vm="1">
        <f t="array" ref="EBE3">_xlfn._xlws.FILTER(Rutas,_xlfn._xlws.FILTER($B$2:$B$10000,$B$2:$B$10000&lt;&gt;"")=VALUE(INDEX(IdClientes,MATCH(EBE2,Clientes,0))))</f>
        <v>#VALUE!</v>
      </c>
      <c r="EBF3" s="28" t="e" cm="1" vm="1">
        <f t="array" ref="EBF3">_xlfn._xlws.FILTER(Rutas,_xlfn._xlws.FILTER($B$2:$B$10000,$B$2:$B$10000&lt;&gt;"")=VALUE(INDEX(IdClientes,MATCH(EBF2,Clientes,0))))</f>
        <v>#VALUE!</v>
      </c>
      <c r="EBG3" s="28" t="e" cm="1" vm="1">
        <f t="array" ref="EBG3">_xlfn._xlws.FILTER(Rutas,_xlfn._xlws.FILTER($B$2:$B$10000,$B$2:$B$10000&lt;&gt;"")=VALUE(INDEX(IdClientes,MATCH(EBG2,Clientes,0))))</f>
        <v>#VALUE!</v>
      </c>
      <c r="EBH3" s="28" t="e" cm="1" vm="1">
        <f t="array" ref="EBH3">_xlfn._xlws.FILTER(Rutas,_xlfn._xlws.FILTER($B$2:$B$10000,$B$2:$B$10000&lt;&gt;"")=VALUE(INDEX(IdClientes,MATCH(EBH2,Clientes,0))))</f>
        <v>#VALUE!</v>
      </c>
      <c r="EBI3" s="28" t="e" cm="1" vm="1">
        <f t="array" ref="EBI3">_xlfn._xlws.FILTER(Rutas,_xlfn._xlws.FILTER($B$2:$B$10000,$B$2:$B$10000&lt;&gt;"")=VALUE(INDEX(IdClientes,MATCH(EBI2,Clientes,0))))</f>
        <v>#VALUE!</v>
      </c>
      <c r="EBJ3" s="28" t="e" cm="1" vm="1">
        <f t="array" ref="EBJ3">_xlfn._xlws.FILTER(Rutas,_xlfn._xlws.FILTER($B$2:$B$10000,$B$2:$B$10000&lt;&gt;"")=VALUE(INDEX(IdClientes,MATCH(EBJ2,Clientes,0))))</f>
        <v>#VALUE!</v>
      </c>
      <c r="EBK3" s="28" t="e" cm="1" vm="1">
        <f t="array" ref="EBK3">_xlfn._xlws.FILTER(Rutas,_xlfn._xlws.FILTER($B$2:$B$10000,$B$2:$B$10000&lt;&gt;"")=VALUE(INDEX(IdClientes,MATCH(EBK2,Clientes,0))))</f>
        <v>#VALUE!</v>
      </c>
      <c r="EBL3" s="28" t="e" cm="1" vm="1">
        <f t="array" ref="EBL3">_xlfn._xlws.FILTER(Rutas,_xlfn._xlws.FILTER($B$2:$B$10000,$B$2:$B$10000&lt;&gt;"")=VALUE(INDEX(IdClientes,MATCH(EBL2,Clientes,0))))</f>
        <v>#VALUE!</v>
      </c>
      <c r="EBM3" s="28" t="e" cm="1" vm="1">
        <f t="array" ref="EBM3">_xlfn._xlws.FILTER(Rutas,_xlfn._xlws.FILTER($B$2:$B$10000,$B$2:$B$10000&lt;&gt;"")=VALUE(INDEX(IdClientes,MATCH(EBM2,Clientes,0))))</f>
        <v>#VALUE!</v>
      </c>
      <c r="EBN3" s="28" t="e" cm="1" vm="1">
        <f t="array" ref="EBN3">_xlfn._xlws.FILTER(Rutas,_xlfn._xlws.FILTER($B$2:$B$10000,$B$2:$B$10000&lt;&gt;"")=VALUE(INDEX(IdClientes,MATCH(EBN2,Clientes,0))))</f>
        <v>#VALUE!</v>
      </c>
      <c r="EBO3" s="28" t="e" cm="1" vm="1">
        <f t="array" ref="EBO3">_xlfn._xlws.FILTER(Rutas,_xlfn._xlws.FILTER($B$2:$B$10000,$B$2:$B$10000&lt;&gt;"")=VALUE(INDEX(IdClientes,MATCH(EBO2,Clientes,0))))</f>
        <v>#VALUE!</v>
      </c>
      <c r="EBP3" s="28" t="e" cm="1" vm="1">
        <f t="array" ref="EBP3">_xlfn._xlws.FILTER(Rutas,_xlfn._xlws.FILTER($B$2:$B$10000,$B$2:$B$10000&lt;&gt;"")=VALUE(INDEX(IdClientes,MATCH(EBP2,Clientes,0))))</f>
        <v>#VALUE!</v>
      </c>
      <c r="EBQ3" s="28" t="e" cm="1" vm="1">
        <f t="array" ref="EBQ3">_xlfn._xlws.FILTER(Rutas,_xlfn._xlws.FILTER($B$2:$B$10000,$B$2:$B$10000&lt;&gt;"")=VALUE(INDEX(IdClientes,MATCH(EBQ2,Clientes,0))))</f>
        <v>#VALUE!</v>
      </c>
      <c r="EBR3" s="28" t="e" cm="1" vm="1">
        <f t="array" ref="EBR3">_xlfn._xlws.FILTER(Rutas,_xlfn._xlws.FILTER($B$2:$B$10000,$B$2:$B$10000&lt;&gt;"")=VALUE(INDEX(IdClientes,MATCH(EBR2,Clientes,0))))</f>
        <v>#VALUE!</v>
      </c>
      <c r="EBS3" s="28" t="e" cm="1" vm="1">
        <f t="array" ref="EBS3">_xlfn._xlws.FILTER(Rutas,_xlfn._xlws.FILTER($B$2:$B$10000,$B$2:$B$10000&lt;&gt;"")=VALUE(INDEX(IdClientes,MATCH(EBS2,Clientes,0))))</f>
        <v>#VALUE!</v>
      </c>
      <c r="EBT3" s="28" t="e" cm="1" vm="1">
        <f t="array" ref="EBT3">_xlfn._xlws.FILTER(Rutas,_xlfn._xlws.FILTER($B$2:$B$10000,$B$2:$B$10000&lt;&gt;"")=VALUE(INDEX(IdClientes,MATCH(EBT2,Clientes,0))))</f>
        <v>#VALUE!</v>
      </c>
      <c r="EBU3" s="28" t="e" cm="1" vm="1">
        <f t="array" ref="EBU3">_xlfn._xlws.FILTER(Rutas,_xlfn._xlws.FILTER($B$2:$B$10000,$B$2:$B$10000&lt;&gt;"")=VALUE(INDEX(IdClientes,MATCH(EBU2,Clientes,0))))</f>
        <v>#VALUE!</v>
      </c>
      <c r="EBV3" s="28" t="e" cm="1" vm="1">
        <f t="array" ref="EBV3">_xlfn._xlws.FILTER(Rutas,_xlfn._xlws.FILTER($B$2:$B$10000,$B$2:$B$10000&lt;&gt;"")=VALUE(INDEX(IdClientes,MATCH(EBV2,Clientes,0))))</f>
        <v>#VALUE!</v>
      </c>
      <c r="EBW3" s="28" t="e" cm="1" vm="1">
        <f t="array" ref="EBW3">_xlfn._xlws.FILTER(Rutas,_xlfn._xlws.FILTER($B$2:$B$10000,$B$2:$B$10000&lt;&gt;"")=VALUE(INDEX(IdClientes,MATCH(EBW2,Clientes,0))))</f>
        <v>#VALUE!</v>
      </c>
      <c r="EBX3" s="28" t="e" cm="1" vm="1">
        <f t="array" ref="EBX3">_xlfn._xlws.FILTER(Rutas,_xlfn._xlws.FILTER($B$2:$B$10000,$B$2:$B$10000&lt;&gt;"")=VALUE(INDEX(IdClientes,MATCH(EBX2,Clientes,0))))</f>
        <v>#VALUE!</v>
      </c>
      <c r="EBY3" s="28" t="e" cm="1" vm="1">
        <f t="array" ref="EBY3">_xlfn._xlws.FILTER(Rutas,_xlfn._xlws.FILTER($B$2:$B$10000,$B$2:$B$10000&lt;&gt;"")=VALUE(INDEX(IdClientes,MATCH(EBY2,Clientes,0))))</f>
        <v>#VALUE!</v>
      </c>
      <c r="EBZ3" s="28" t="e" cm="1" vm="1">
        <f t="array" ref="EBZ3">_xlfn._xlws.FILTER(Rutas,_xlfn._xlws.FILTER($B$2:$B$10000,$B$2:$B$10000&lt;&gt;"")=VALUE(INDEX(IdClientes,MATCH(EBZ2,Clientes,0))))</f>
        <v>#VALUE!</v>
      </c>
      <c r="ECA3" s="28" t="e" cm="1" vm="1">
        <f t="array" ref="ECA3">_xlfn._xlws.FILTER(Rutas,_xlfn._xlws.FILTER($B$2:$B$10000,$B$2:$B$10000&lt;&gt;"")=VALUE(INDEX(IdClientes,MATCH(ECA2,Clientes,0))))</f>
        <v>#VALUE!</v>
      </c>
      <c r="ECB3" s="28" t="e" cm="1" vm="1">
        <f t="array" ref="ECB3">_xlfn._xlws.FILTER(Rutas,_xlfn._xlws.FILTER($B$2:$B$10000,$B$2:$B$10000&lt;&gt;"")=VALUE(INDEX(IdClientes,MATCH(ECB2,Clientes,0))))</f>
        <v>#VALUE!</v>
      </c>
      <c r="ECC3" s="28" t="e" cm="1" vm="1">
        <f t="array" ref="ECC3">_xlfn._xlws.FILTER(Rutas,_xlfn._xlws.FILTER($B$2:$B$10000,$B$2:$B$10000&lt;&gt;"")=VALUE(INDEX(IdClientes,MATCH(ECC2,Clientes,0))))</f>
        <v>#VALUE!</v>
      </c>
      <c r="ECD3" s="28" t="e" cm="1" vm="1">
        <f t="array" ref="ECD3">_xlfn._xlws.FILTER(Rutas,_xlfn._xlws.FILTER($B$2:$B$10000,$B$2:$B$10000&lt;&gt;"")=VALUE(INDEX(IdClientes,MATCH(ECD2,Clientes,0))))</f>
        <v>#VALUE!</v>
      </c>
      <c r="ECE3" s="28" t="e" cm="1" vm="1">
        <f t="array" ref="ECE3">_xlfn._xlws.FILTER(Rutas,_xlfn._xlws.FILTER($B$2:$B$10000,$B$2:$B$10000&lt;&gt;"")=VALUE(INDEX(IdClientes,MATCH(ECE2,Clientes,0))))</f>
        <v>#VALUE!</v>
      </c>
      <c r="ECF3" s="28" t="e" cm="1" vm="1">
        <f t="array" ref="ECF3">_xlfn._xlws.FILTER(Rutas,_xlfn._xlws.FILTER($B$2:$B$10000,$B$2:$B$10000&lt;&gt;"")=VALUE(INDEX(IdClientes,MATCH(ECF2,Clientes,0))))</f>
        <v>#VALUE!</v>
      </c>
      <c r="ECG3" s="28" t="e" cm="1" vm="1">
        <f t="array" ref="ECG3">_xlfn._xlws.FILTER(Rutas,_xlfn._xlws.FILTER($B$2:$B$10000,$B$2:$B$10000&lt;&gt;"")=VALUE(INDEX(IdClientes,MATCH(ECG2,Clientes,0))))</f>
        <v>#VALUE!</v>
      </c>
      <c r="ECH3" s="28" t="e" cm="1" vm="1">
        <f t="array" ref="ECH3">_xlfn._xlws.FILTER(Rutas,_xlfn._xlws.FILTER($B$2:$B$10000,$B$2:$B$10000&lt;&gt;"")=VALUE(INDEX(IdClientes,MATCH(ECH2,Clientes,0))))</f>
        <v>#VALUE!</v>
      </c>
      <c r="ECI3" s="28" t="e" cm="1" vm="1">
        <f t="array" ref="ECI3">_xlfn._xlws.FILTER(Rutas,_xlfn._xlws.FILTER($B$2:$B$10000,$B$2:$B$10000&lt;&gt;"")=VALUE(INDEX(IdClientes,MATCH(ECI2,Clientes,0))))</f>
        <v>#VALUE!</v>
      </c>
      <c r="ECJ3" s="28" t="e" cm="1" vm="1">
        <f t="array" ref="ECJ3">_xlfn._xlws.FILTER(Rutas,_xlfn._xlws.FILTER($B$2:$B$10000,$B$2:$B$10000&lt;&gt;"")=VALUE(INDEX(IdClientes,MATCH(ECJ2,Clientes,0))))</f>
        <v>#VALUE!</v>
      </c>
      <c r="ECK3" s="28" t="e" cm="1" vm="1">
        <f t="array" ref="ECK3">_xlfn._xlws.FILTER(Rutas,_xlfn._xlws.FILTER($B$2:$B$10000,$B$2:$B$10000&lt;&gt;"")=VALUE(INDEX(IdClientes,MATCH(ECK2,Clientes,0))))</f>
        <v>#VALUE!</v>
      </c>
      <c r="ECL3" s="28" t="e" cm="1" vm="1">
        <f t="array" ref="ECL3">_xlfn._xlws.FILTER(Rutas,_xlfn._xlws.FILTER($B$2:$B$10000,$B$2:$B$10000&lt;&gt;"")=VALUE(INDEX(IdClientes,MATCH(ECL2,Clientes,0))))</f>
        <v>#VALUE!</v>
      </c>
      <c r="ECM3" s="28" t="e" cm="1" vm="1">
        <f t="array" ref="ECM3">_xlfn._xlws.FILTER(Rutas,_xlfn._xlws.FILTER($B$2:$B$10000,$B$2:$B$10000&lt;&gt;"")=VALUE(INDEX(IdClientes,MATCH(ECM2,Clientes,0))))</f>
        <v>#VALUE!</v>
      </c>
      <c r="ECN3" s="28" t="e" cm="1" vm="1">
        <f t="array" ref="ECN3">_xlfn._xlws.FILTER(Rutas,_xlfn._xlws.FILTER($B$2:$B$10000,$B$2:$B$10000&lt;&gt;"")=VALUE(INDEX(IdClientes,MATCH(ECN2,Clientes,0))))</f>
        <v>#VALUE!</v>
      </c>
      <c r="ECO3" s="28" t="e" cm="1" vm="1">
        <f t="array" ref="ECO3">_xlfn._xlws.FILTER(Rutas,_xlfn._xlws.FILTER($B$2:$B$10000,$B$2:$B$10000&lt;&gt;"")=VALUE(INDEX(IdClientes,MATCH(ECO2,Clientes,0))))</f>
        <v>#VALUE!</v>
      </c>
      <c r="ECP3" s="28" t="e" cm="1" vm="1">
        <f t="array" ref="ECP3">_xlfn._xlws.FILTER(Rutas,_xlfn._xlws.FILTER($B$2:$B$10000,$B$2:$B$10000&lt;&gt;"")=VALUE(INDEX(IdClientes,MATCH(ECP2,Clientes,0))))</f>
        <v>#VALUE!</v>
      </c>
      <c r="ECQ3" s="28" t="e" cm="1" vm="1">
        <f t="array" ref="ECQ3">_xlfn._xlws.FILTER(Rutas,_xlfn._xlws.FILTER($B$2:$B$10000,$B$2:$B$10000&lt;&gt;"")=VALUE(INDEX(IdClientes,MATCH(ECQ2,Clientes,0))))</f>
        <v>#VALUE!</v>
      </c>
      <c r="ECR3" s="28" t="e" cm="1" vm="1">
        <f t="array" ref="ECR3">_xlfn._xlws.FILTER(Rutas,_xlfn._xlws.FILTER($B$2:$B$10000,$B$2:$B$10000&lt;&gt;"")=VALUE(INDEX(IdClientes,MATCH(ECR2,Clientes,0))))</f>
        <v>#VALUE!</v>
      </c>
      <c r="ECS3" s="28" t="e" cm="1" vm="1">
        <f t="array" ref="ECS3">_xlfn._xlws.FILTER(Rutas,_xlfn._xlws.FILTER($B$2:$B$10000,$B$2:$B$10000&lt;&gt;"")=VALUE(INDEX(IdClientes,MATCH(ECS2,Clientes,0))))</f>
        <v>#VALUE!</v>
      </c>
      <c r="ECT3" s="28" t="e" cm="1" vm="1">
        <f t="array" ref="ECT3">_xlfn._xlws.FILTER(Rutas,_xlfn._xlws.FILTER($B$2:$B$10000,$B$2:$B$10000&lt;&gt;"")=VALUE(INDEX(IdClientes,MATCH(ECT2,Clientes,0))))</f>
        <v>#VALUE!</v>
      </c>
      <c r="ECU3" s="28" t="e" cm="1" vm="1">
        <f t="array" ref="ECU3">_xlfn._xlws.FILTER(Rutas,_xlfn._xlws.FILTER($B$2:$B$10000,$B$2:$B$10000&lt;&gt;"")=VALUE(INDEX(IdClientes,MATCH(ECU2,Clientes,0))))</f>
        <v>#VALUE!</v>
      </c>
      <c r="ECV3" s="28" t="e" cm="1" vm="1">
        <f t="array" ref="ECV3">_xlfn._xlws.FILTER(Rutas,_xlfn._xlws.FILTER($B$2:$B$10000,$B$2:$B$10000&lt;&gt;"")=VALUE(INDEX(IdClientes,MATCH(ECV2,Clientes,0))))</f>
        <v>#VALUE!</v>
      </c>
      <c r="ECW3" s="28" t="e" cm="1" vm="1">
        <f t="array" ref="ECW3">_xlfn._xlws.FILTER(Rutas,_xlfn._xlws.FILTER($B$2:$B$10000,$B$2:$B$10000&lt;&gt;"")=VALUE(INDEX(IdClientes,MATCH(ECW2,Clientes,0))))</f>
        <v>#VALUE!</v>
      </c>
      <c r="ECX3" s="28" t="e" cm="1" vm="1">
        <f t="array" ref="ECX3">_xlfn._xlws.FILTER(Rutas,_xlfn._xlws.FILTER($B$2:$B$10000,$B$2:$B$10000&lt;&gt;"")=VALUE(INDEX(IdClientes,MATCH(ECX2,Clientes,0))))</f>
        <v>#VALUE!</v>
      </c>
      <c r="ECY3" s="28" t="e" cm="1" vm="1">
        <f t="array" ref="ECY3">_xlfn._xlws.FILTER(Rutas,_xlfn._xlws.FILTER($B$2:$B$10000,$B$2:$B$10000&lt;&gt;"")=VALUE(INDEX(IdClientes,MATCH(ECY2,Clientes,0))))</f>
        <v>#VALUE!</v>
      </c>
      <c r="ECZ3" s="28" t="e" cm="1" vm="1">
        <f t="array" ref="ECZ3">_xlfn._xlws.FILTER(Rutas,_xlfn._xlws.FILTER($B$2:$B$10000,$B$2:$B$10000&lt;&gt;"")=VALUE(INDEX(IdClientes,MATCH(ECZ2,Clientes,0))))</f>
        <v>#VALUE!</v>
      </c>
      <c r="EDA3" s="28" t="e" cm="1" vm="1">
        <f t="array" ref="EDA3">_xlfn._xlws.FILTER(Rutas,_xlfn._xlws.FILTER($B$2:$B$10000,$B$2:$B$10000&lt;&gt;"")=VALUE(INDEX(IdClientes,MATCH(EDA2,Clientes,0))))</f>
        <v>#VALUE!</v>
      </c>
      <c r="EDB3" s="28" t="e" cm="1" vm="1">
        <f t="array" ref="EDB3">_xlfn._xlws.FILTER(Rutas,_xlfn._xlws.FILTER($B$2:$B$10000,$B$2:$B$10000&lt;&gt;"")=VALUE(INDEX(IdClientes,MATCH(EDB2,Clientes,0))))</f>
        <v>#VALUE!</v>
      </c>
      <c r="EDC3" s="28" t="e" cm="1" vm="1">
        <f t="array" ref="EDC3">_xlfn._xlws.FILTER(Rutas,_xlfn._xlws.FILTER($B$2:$B$10000,$B$2:$B$10000&lt;&gt;"")=VALUE(INDEX(IdClientes,MATCH(EDC2,Clientes,0))))</f>
        <v>#VALUE!</v>
      </c>
      <c r="EDD3" s="28" t="e" cm="1" vm="1">
        <f t="array" ref="EDD3">_xlfn._xlws.FILTER(Rutas,_xlfn._xlws.FILTER($B$2:$B$10000,$B$2:$B$10000&lt;&gt;"")=VALUE(INDEX(IdClientes,MATCH(EDD2,Clientes,0))))</f>
        <v>#VALUE!</v>
      </c>
      <c r="EDE3" s="28" t="e" cm="1" vm="1">
        <f t="array" ref="EDE3">_xlfn._xlws.FILTER(Rutas,_xlfn._xlws.FILTER($B$2:$B$10000,$B$2:$B$10000&lt;&gt;"")=VALUE(INDEX(IdClientes,MATCH(EDE2,Clientes,0))))</f>
        <v>#VALUE!</v>
      </c>
      <c r="EDF3" s="28" t="e" cm="1" vm="1">
        <f t="array" ref="EDF3">_xlfn._xlws.FILTER(Rutas,_xlfn._xlws.FILTER($B$2:$B$10000,$B$2:$B$10000&lt;&gt;"")=VALUE(INDEX(IdClientes,MATCH(EDF2,Clientes,0))))</f>
        <v>#VALUE!</v>
      </c>
      <c r="EDG3" s="28" t="e" cm="1" vm="1">
        <f t="array" ref="EDG3">_xlfn._xlws.FILTER(Rutas,_xlfn._xlws.FILTER($B$2:$B$10000,$B$2:$B$10000&lt;&gt;"")=VALUE(INDEX(IdClientes,MATCH(EDG2,Clientes,0))))</f>
        <v>#VALUE!</v>
      </c>
      <c r="EDH3" s="28" t="e" cm="1" vm="1">
        <f t="array" ref="EDH3">_xlfn._xlws.FILTER(Rutas,_xlfn._xlws.FILTER($B$2:$B$10000,$B$2:$B$10000&lt;&gt;"")=VALUE(INDEX(IdClientes,MATCH(EDH2,Clientes,0))))</f>
        <v>#VALUE!</v>
      </c>
      <c r="EDI3" s="28" t="e" cm="1" vm="1">
        <f t="array" ref="EDI3">_xlfn._xlws.FILTER(Rutas,_xlfn._xlws.FILTER($B$2:$B$10000,$B$2:$B$10000&lt;&gt;"")=VALUE(INDEX(IdClientes,MATCH(EDI2,Clientes,0))))</f>
        <v>#VALUE!</v>
      </c>
      <c r="EDJ3" s="28" t="e" cm="1" vm="1">
        <f t="array" ref="EDJ3">_xlfn._xlws.FILTER(Rutas,_xlfn._xlws.FILTER($B$2:$B$10000,$B$2:$B$10000&lt;&gt;"")=VALUE(INDEX(IdClientes,MATCH(EDJ2,Clientes,0))))</f>
        <v>#VALUE!</v>
      </c>
      <c r="EDK3" s="28" t="e" cm="1" vm="1">
        <f t="array" ref="EDK3">_xlfn._xlws.FILTER(Rutas,_xlfn._xlws.FILTER($B$2:$B$10000,$B$2:$B$10000&lt;&gt;"")=VALUE(INDEX(IdClientes,MATCH(EDK2,Clientes,0))))</f>
        <v>#VALUE!</v>
      </c>
      <c r="EDL3" s="28" t="e" cm="1" vm="1">
        <f t="array" ref="EDL3">_xlfn._xlws.FILTER(Rutas,_xlfn._xlws.FILTER($B$2:$B$10000,$B$2:$B$10000&lt;&gt;"")=VALUE(INDEX(IdClientes,MATCH(EDL2,Clientes,0))))</f>
        <v>#VALUE!</v>
      </c>
      <c r="EDM3" s="28" t="e" cm="1" vm="1">
        <f t="array" ref="EDM3">_xlfn._xlws.FILTER(Rutas,_xlfn._xlws.FILTER($B$2:$B$10000,$B$2:$B$10000&lt;&gt;"")=VALUE(INDEX(IdClientes,MATCH(EDM2,Clientes,0))))</f>
        <v>#VALUE!</v>
      </c>
      <c r="EDN3" s="28" t="e" cm="1" vm="1">
        <f t="array" ref="EDN3">_xlfn._xlws.FILTER(Rutas,_xlfn._xlws.FILTER($B$2:$B$10000,$B$2:$B$10000&lt;&gt;"")=VALUE(INDEX(IdClientes,MATCH(EDN2,Clientes,0))))</f>
        <v>#VALUE!</v>
      </c>
      <c r="EDO3" s="28" t="e" cm="1" vm="1">
        <f t="array" ref="EDO3">_xlfn._xlws.FILTER(Rutas,_xlfn._xlws.FILTER($B$2:$B$10000,$B$2:$B$10000&lt;&gt;"")=VALUE(INDEX(IdClientes,MATCH(EDO2,Clientes,0))))</f>
        <v>#VALUE!</v>
      </c>
      <c r="EDP3" s="28" t="e" cm="1" vm="1">
        <f t="array" ref="EDP3">_xlfn._xlws.FILTER(Rutas,_xlfn._xlws.FILTER($B$2:$B$10000,$B$2:$B$10000&lt;&gt;"")=VALUE(INDEX(IdClientes,MATCH(EDP2,Clientes,0))))</f>
        <v>#VALUE!</v>
      </c>
      <c r="EDQ3" s="28" t="e" cm="1" vm="1">
        <f t="array" ref="EDQ3">_xlfn._xlws.FILTER(Rutas,_xlfn._xlws.FILTER($B$2:$B$10000,$B$2:$B$10000&lt;&gt;"")=VALUE(INDEX(IdClientes,MATCH(EDQ2,Clientes,0))))</f>
        <v>#VALUE!</v>
      </c>
      <c r="EDR3" s="28" t="e" cm="1" vm="1">
        <f t="array" ref="EDR3">_xlfn._xlws.FILTER(Rutas,_xlfn._xlws.FILTER($B$2:$B$10000,$B$2:$B$10000&lt;&gt;"")=VALUE(INDEX(IdClientes,MATCH(EDR2,Clientes,0))))</f>
        <v>#VALUE!</v>
      </c>
      <c r="EDS3" s="28" t="e" cm="1" vm="1">
        <f t="array" ref="EDS3">_xlfn._xlws.FILTER(Rutas,_xlfn._xlws.FILTER($B$2:$B$10000,$B$2:$B$10000&lt;&gt;"")=VALUE(INDEX(IdClientes,MATCH(EDS2,Clientes,0))))</f>
        <v>#VALUE!</v>
      </c>
      <c r="EDT3" s="28" t="e" cm="1" vm="1">
        <f t="array" ref="EDT3">_xlfn._xlws.FILTER(Rutas,_xlfn._xlws.FILTER($B$2:$B$10000,$B$2:$B$10000&lt;&gt;"")=VALUE(INDEX(IdClientes,MATCH(EDT2,Clientes,0))))</f>
        <v>#VALUE!</v>
      </c>
      <c r="EDU3" s="28" t="e" cm="1" vm="1">
        <f t="array" ref="EDU3">_xlfn._xlws.FILTER(Rutas,_xlfn._xlws.FILTER($B$2:$B$10000,$B$2:$B$10000&lt;&gt;"")=VALUE(INDEX(IdClientes,MATCH(EDU2,Clientes,0))))</f>
        <v>#VALUE!</v>
      </c>
      <c r="EDV3" s="28" t="e" cm="1" vm="1">
        <f t="array" ref="EDV3">_xlfn._xlws.FILTER(Rutas,_xlfn._xlws.FILTER($B$2:$B$10000,$B$2:$B$10000&lt;&gt;"")=VALUE(INDEX(IdClientes,MATCH(EDV2,Clientes,0))))</f>
        <v>#VALUE!</v>
      </c>
      <c r="EDW3" s="28" t="e" cm="1" vm="1">
        <f t="array" ref="EDW3">_xlfn._xlws.FILTER(Rutas,_xlfn._xlws.FILTER($B$2:$B$10000,$B$2:$B$10000&lt;&gt;"")=VALUE(INDEX(IdClientes,MATCH(EDW2,Clientes,0))))</f>
        <v>#VALUE!</v>
      </c>
      <c r="EDX3" s="28" t="e" cm="1" vm="1">
        <f t="array" ref="EDX3">_xlfn._xlws.FILTER(Rutas,_xlfn._xlws.FILTER($B$2:$B$10000,$B$2:$B$10000&lt;&gt;"")=VALUE(INDEX(IdClientes,MATCH(EDX2,Clientes,0))))</f>
        <v>#VALUE!</v>
      </c>
      <c r="EDY3" s="28" t="e" cm="1" vm="1">
        <f t="array" ref="EDY3">_xlfn._xlws.FILTER(Rutas,_xlfn._xlws.FILTER($B$2:$B$10000,$B$2:$B$10000&lt;&gt;"")=VALUE(INDEX(IdClientes,MATCH(EDY2,Clientes,0))))</f>
        <v>#VALUE!</v>
      </c>
      <c r="EDZ3" s="28" t="e" cm="1" vm="1">
        <f t="array" ref="EDZ3">_xlfn._xlws.FILTER(Rutas,_xlfn._xlws.FILTER($B$2:$B$10000,$B$2:$B$10000&lt;&gt;"")=VALUE(INDEX(IdClientes,MATCH(EDZ2,Clientes,0))))</f>
        <v>#VALUE!</v>
      </c>
      <c r="EEA3" s="28" t="e" cm="1" vm="1">
        <f t="array" ref="EEA3">_xlfn._xlws.FILTER(Rutas,_xlfn._xlws.FILTER($B$2:$B$10000,$B$2:$B$10000&lt;&gt;"")=VALUE(INDEX(IdClientes,MATCH(EEA2,Clientes,0))))</f>
        <v>#VALUE!</v>
      </c>
      <c r="EEB3" s="28" t="e" cm="1" vm="1">
        <f t="array" ref="EEB3">_xlfn._xlws.FILTER(Rutas,_xlfn._xlws.FILTER($B$2:$B$10000,$B$2:$B$10000&lt;&gt;"")=VALUE(INDEX(IdClientes,MATCH(EEB2,Clientes,0))))</f>
        <v>#VALUE!</v>
      </c>
      <c r="EEC3" s="28" t="e" cm="1" vm="1">
        <f t="array" ref="EEC3">_xlfn._xlws.FILTER(Rutas,_xlfn._xlws.FILTER($B$2:$B$10000,$B$2:$B$10000&lt;&gt;"")=VALUE(INDEX(IdClientes,MATCH(EEC2,Clientes,0))))</f>
        <v>#VALUE!</v>
      </c>
      <c r="EED3" s="28" t="e" cm="1" vm="1">
        <f t="array" ref="EED3">_xlfn._xlws.FILTER(Rutas,_xlfn._xlws.FILTER($B$2:$B$10000,$B$2:$B$10000&lt;&gt;"")=VALUE(INDEX(IdClientes,MATCH(EED2,Clientes,0))))</f>
        <v>#VALUE!</v>
      </c>
      <c r="EEE3" s="28" t="e" cm="1" vm="1">
        <f t="array" ref="EEE3">_xlfn._xlws.FILTER(Rutas,_xlfn._xlws.FILTER($B$2:$B$10000,$B$2:$B$10000&lt;&gt;"")=VALUE(INDEX(IdClientes,MATCH(EEE2,Clientes,0))))</f>
        <v>#VALUE!</v>
      </c>
      <c r="EEF3" s="28" t="e" cm="1" vm="1">
        <f t="array" ref="EEF3">_xlfn._xlws.FILTER(Rutas,_xlfn._xlws.FILTER($B$2:$B$10000,$B$2:$B$10000&lt;&gt;"")=VALUE(INDEX(IdClientes,MATCH(EEF2,Clientes,0))))</f>
        <v>#VALUE!</v>
      </c>
      <c r="EEG3" s="28" t="e" cm="1" vm="1">
        <f t="array" ref="EEG3">_xlfn._xlws.FILTER(Rutas,_xlfn._xlws.FILTER($B$2:$B$10000,$B$2:$B$10000&lt;&gt;"")=VALUE(INDEX(IdClientes,MATCH(EEG2,Clientes,0))))</f>
        <v>#VALUE!</v>
      </c>
      <c r="EEH3" s="28" t="e" cm="1" vm="1">
        <f t="array" ref="EEH3">_xlfn._xlws.FILTER(Rutas,_xlfn._xlws.FILTER($B$2:$B$10000,$B$2:$B$10000&lt;&gt;"")=VALUE(INDEX(IdClientes,MATCH(EEH2,Clientes,0))))</f>
        <v>#VALUE!</v>
      </c>
      <c r="EEI3" s="28" t="e" cm="1" vm="1">
        <f t="array" ref="EEI3">_xlfn._xlws.FILTER(Rutas,_xlfn._xlws.FILTER($B$2:$B$10000,$B$2:$B$10000&lt;&gt;"")=VALUE(INDEX(IdClientes,MATCH(EEI2,Clientes,0))))</f>
        <v>#VALUE!</v>
      </c>
      <c r="EEJ3" s="28" t="e" cm="1" vm="1">
        <f t="array" ref="EEJ3">_xlfn._xlws.FILTER(Rutas,_xlfn._xlws.FILTER($B$2:$B$10000,$B$2:$B$10000&lt;&gt;"")=VALUE(INDEX(IdClientes,MATCH(EEJ2,Clientes,0))))</f>
        <v>#VALUE!</v>
      </c>
      <c r="EEK3" s="28" t="e" cm="1" vm="1">
        <f t="array" ref="EEK3">_xlfn._xlws.FILTER(Rutas,_xlfn._xlws.FILTER($B$2:$B$10000,$B$2:$B$10000&lt;&gt;"")=VALUE(INDEX(IdClientes,MATCH(EEK2,Clientes,0))))</f>
        <v>#VALUE!</v>
      </c>
      <c r="EEL3" s="28" t="e" cm="1" vm="1">
        <f t="array" ref="EEL3">_xlfn._xlws.FILTER(Rutas,_xlfn._xlws.FILTER($B$2:$B$10000,$B$2:$B$10000&lt;&gt;"")=VALUE(INDEX(IdClientes,MATCH(EEL2,Clientes,0))))</f>
        <v>#VALUE!</v>
      </c>
      <c r="EEM3" s="28" t="e" cm="1" vm="1">
        <f t="array" ref="EEM3">_xlfn._xlws.FILTER(Rutas,_xlfn._xlws.FILTER($B$2:$B$10000,$B$2:$B$10000&lt;&gt;"")=VALUE(INDEX(IdClientes,MATCH(EEM2,Clientes,0))))</f>
        <v>#VALUE!</v>
      </c>
      <c r="EEN3" s="28" t="e" cm="1" vm="1">
        <f t="array" ref="EEN3">_xlfn._xlws.FILTER(Rutas,_xlfn._xlws.FILTER($B$2:$B$10000,$B$2:$B$10000&lt;&gt;"")=VALUE(INDEX(IdClientes,MATCH(EEN2,Clientes,0))))</f>
        <v>#VALUE!</v>
      </c>
      <c r="EEO3" s="28" t="e" cm="1" vm="1">
        <f t="array" ref="EEO3">_xlfn._xlws.FILTER(Rutas,_xlfn._xlws.FILTER($B$2:$B$10000,$B$2:$B$10000&lt;&gt;"")=VALUE(INDEX(IdClientes,MATCH(EEO2,Clientes,0))))</f>
        <v>#VALUE!</v>
      </c>
      <c r="EEP3" s="28" t="e" cm="1" vm="1">
        <f t="array" ref="EEP3">_xlfn._xlws.FILTER(Rutas,_xlfn._xlws.FILTER($B$2:$B$10000,$B$2:$B$10000&lt;&gt;"")=VALUE(INDEX(IdClientes,MATCH(EEP2,Clientes,0))))</f>
        <v>#VALUE!</v>
      </c>
      <c r="EEQ3" s="28" t="e" cm="1" vm="1">
        <f t="array" ref="EEQ3">_xlfn._xlws.FILTER(Rutas,_xlfn._xlws.FILTER($B$2:$B$10000,$B$2:$B$10000&lt;&gt;"")=VALUE(INDEX(IdClientes,MATCH(EEQ2,Clientes,0))))</f>
        <v>#VALUE!</v>
      </c>
      <c r="EER3" s="28" t="e" cm="1" vm="1">
        <f t="array" ref="EER3">_xlfn._xlws.FILTER(Rutas,_xlfn._xlws.FILTER($B$2:$B$10000,$B$2:$B$10000&lt;&gt;"")=VALUE(INDEX(IdClientes,MATCH(EER2,Clientes,0))))</f>
        <v>#VALUE!</v>
      </c>
      <c r="EES3" s="28" t="e" cm="1" vm="1">
        <f t="array" ref="EES3">_xlfn._xlws.FILTER(Rutas,_xlfn._xlws.FILTER($B$2:$B$10000,$B$2:$B$10000&lt;&gt;"")=VALUE(INDEX(IdClientes,MATCH(EES2,Clientes,0))))</f>
        <v>#VALUE!</v>
      </c>
      <c r="EET3" s="28" t="e" cm="1" vm="1">
        <f t="array" ref="EET3">_xlfn._xlws.FILTER(Rutas,_xlfn._xlws.FILTER($B$2:$B$10000,$B$2:$B$10000&lt;&gt;"")=VALUE(INDEX(IdClientes,MATCH(EET2,Clientes,0))))</f>
        <v>#VALUE!</v>
      </c>
      <c r="EEU3" s="28" t="e" cm="1" vm="1">
        <f t="array" ref="EEU3">_xlfn._xlws.FILTER(Rutas,_xlfn._xlws.FILTER($B$2:$B$10000,$B$2:$B$10000&lt;&gt;"")=VALUE(INDEX(IdClientes,MATCH(EEU2,Clientes,0))))</f>
        <v>#VALUE!</v>
      </c>
      <c r="EEV3" s="28" t="e" cm="1" vm="1">
        <f t="array" ref="EEV3">_xlfn._xlws.FILTER(Rutas,_xlfn._xlws.FILTER($B$2:$B$10000,$B$2:$B$10000&lt;&gt;"")=VALUE(INDEX(IdClientes,MATCH(EEV2,Clientes,0))))</f>
        <v>#VALUE!</v>
      </c>
      <c r="EEW3" s="28" t="e" cm="1" vm="1">
        <f t="array" ref="EEW3">_xlfn._xlws.FILTER(Rutas,_xlfn._xlws.FILTER($B$2:$B$10000,$B$2:$B$10000&lt;&gt;"")=VALUE(INDEX(IdClientes,MATCH(EEW2,Clientes,0))))</f>
        <v>#VALUE!</v>
      </c>
      <c r="EEX3" s="28" t="e" cm="1" vm="1">
        <f t="array" ref="EEX3">_xlfn._xlws.FILTER(Rutas,_xlfn._xlws.FILTER($B$2:$B$10000,$B$2:$B$10000&lt;&gt;"")=VALUE(INDEX(IdClientes,MATCH(EEX2,Clientes,0))))</f>
        <v>#VALUE!</v>
      </c>
      <c r="EEY3" s="28" t="e" cm="1" vm="1">
        <f t="array" ref="EEY3">_xlfn._xlws.FILTER(Rutas,_xlfn._xlws.FILTER($B$2:$B$10000,$B$2:$B$10000&lt;&gt;"")=VALUE(INDEX(IdClientes,MATCH(EEY2,Clientes,0))))</f>
        <v>#VALUE!</v>
      </c>
      <c r="EEZ3" s="28" t="e" cm="1" vm="1">
        <f t="array" ref="EEZ3">_xlfn._xlws.FILTER(Rutas,_xlfn._xlws.FILTER($B$2:$B$10000,$B$2:$B$10000&lt;&gt;"")=VALUE(INDEX(IdClientes,MATCH(EEZ2,Clientes,0))))</f>
        <v>#VALUE!</v>
      </c>
      <c r="EFA3" s="28" t="e" cm="1" vm="1">
        <f t="array" ref="EFA3">_xlfn._xlws.FILTER(Rutas,_xlfn._xlws.FILTER($B$2:$B$10000,$B$2:$B$10000&lt;&gt;"")=VALUE(INDEX(IdClientes,MATCH(EFA2,Clientes,0))))</f>
        <v>#VALUE!</v>
      </c>
      <c r="EFB3" s="28" t="e" cm="1" vm="1">
        <f t="array" ref="EFB3">_xlfn._xlws.FILTER(Rutas,_xlfn._xlws.FILTER($B$2:$B$10000,$B$2:$B$10000&lt;&gt;"")=VALUE(INDEX(IdClientes,MATCH(EFB2,Clientes,0))))</f>
        <v>#VALUE!</v>
      </c>
      <c r="EFC3" s="28" t="e" cm="1" vm="1">
        <f t="array" ref="EFC3">_xlfn._xlws.FILTER(Rutas,_xlfn._xlws.FILTER($B$2:$B$10000,$B$2:$B$10000&lt;&gt;"")=VALUE(INDEX(IdClientes,MATCH(EFC2,Clientes,0))))</f>
        <v>#VALUE!</v>
      </c>
      <c r="EFD3" s="28" t="e" cm="1" vm="1">
        <f t="array" ref="EFD3">_xlfn._xlws.FILTER(Rutas,_xlfn._xlws.FILTER($B$2:$B$10000,$B$2:$B$10000&lt;&gt;"")=VALUE(INDEX(IdClientes,MATCH(EFD2,Clientes,0))))</f>
        <v>#VALUE!</v>
      </c>
      <c r="EFE3" s="28" t="e" cm="1" vm="1">
        <f t="array" ref="EFE3">_xlfn._xlws.FILTER(Rutas,_xlfn._xlws.FILTER($B$2:$B$10000,$B$2:$B$10000&lt;&gt;"")=VALUE(INDEX(IdClientes,MATCH(EFE2,Clientes,0))))</f>
        <v>#VALUE!</v>
      </c>
      <c r="EFF3" s="28" t="e" cm="1" vm="1">
        <f t="array" ref="EFF3">_xlfn._xlws.FILTER(Rutas,_xlfn._xlws.FILTER($B$2:$B$10000,$B$2:$B$10000&lt;&gt;"")=VALUE(INDEX(IdClientes,MATCH(EFF2,Clientes,0))))</f>
        <v>#VALUE!</v>
      </c>
      <c r="EFG3" s="28" t="e" cm="1" vm="1">
        <f t="array" ref="EFG3">_xlfn._xlws.FILTER(Rutas,_xlfn._xlws.FILTER($B$2:$B$10000,$B$2:$B$10000&lt;&gt;"")=VALUE(INDEX(IdClientes,MATCH(EFG2,Clientes,0))))</f>
        <v>#VALUE!</v>
      </c>
      <c r="EFH3" s="28" t="e" cm="1" vm="1">
        <f t="array" ref="EFH3">_xlfn._xlws.FILTER(Rutas,_xlfn._xlws.FILTER($B$2:$B$10000,$B$2:$B$10000&lt;&gt;"")=VALUE(INDEX(IdClientes,MATCH(EFH2,Clientes,0))))</f>
        <v>#VALUE!</v>
      </c>
      <c r="EFI3" s="28" t="e" cm="1" vm="1">
        <f t="array" ref="EFI3">_xlfn._xlws.FILTER(Rutas,_xlfn._xlws.FILTER($B$2:$B$10000,$B$2:$B$10000&lt;&gt;"")=VALUE(INDEX(IdClientes,MATCH(EFI2,Clientes,0))))</f>
        <v>#VALUE!</v>
      </c>
      <c r="EFJ3" s="28" t="e" cm="1" vm="1">
        <f t="array" ref="EFJ3">_xlfn._xlws.FILTER(Rutas,_xlfn._xlws.FILTER($B$2:$B$10000,$B$2:$B$10000&lt;&gt;"")=VALUE(INDEX(IdClientes,MATCH(EFJ2,Clientes,0))))</f>
        <v>#VALUE!</v>
      </c>
      <c r="EFK3" s="28" t="e" cm="1" vm="1">
        <f t="array" ref="EFK3">_xlfn._xlws.FILTER(Rutas,_xlfn._xlws.FILTER($B$2:$B$10000,$B$2:$B$10000&lt;&gt;"")=VALUE(INDEX(IdClientes,MATCH(EFK2,Clientes,0))))</f>
        <v>#VALUE!</v>
      </c>
      <c r="EFL3" s="28" t="e" cm="1" vm="1">
        <f t="array" ref="EFL3">_xlfn._xlws.FILTER(Rutas,_xlfn._xlws.FILTER($B$2:$B$10000,$B$2:$B$10000&lt;&gt;"")=VALUE(INDEX(IdClientes,MATCH(EFL2,Clientes,0))))</f>
        <v>#VALUE!</v>
      </c>
      <c r="EFM3" s="28" t="e" cm="1" vm="1">
        <f t="array" ref="EFM3">_xlfn._xlws.FILTER(Rutas,_xlfn._xlws.FILTER($B$2:$B$10000,$B$2:$B$10000&lt;&gt;"")=VALUE(INDEX(IdClientes,MATCH(EFM2,Clientes,0))))</f>
        <v>#VALUE!</v>
      </c>
      <c r="EFN3" s="28" t="e" cm="1" vm="1">
        <f t="array" ref="EFN3">_xlfn._xlws.FILTER(Rutas,_xlfn._xlws.FILTER($B$2:$B$10000,$B$2:$B$10000&lt;&gt;"")=VALUE(INDEX(IdClientes,MATCH(EFN2,Clientes,0))))</f>
        <v>#VALUE!</v>
      </c>
      <c r="EFO3" s="28" t="e" cm="1" vm="1">
        <f t="array" ref="EFO3">_xlfn._xlws.FILTER(Rutas,_xlfn._xlws.FILTER($B$2:$B$10000,$B$2:$B$10000&lt;&gt;"")=VALUE(INDEX(IdClientes,MATCH(EFO2,Clientes,0))))</f>
        <v>#VALUE!</v>
      </c>
      <c r="EFP3" s="28" t="e" cm="1" vm="1">
        <f t="array" ref="EFP3">_xlfn._xlws.FILTER(Rutas,_xlfn._xlws.FILTER($B$2:$B$10000,$B$2:$B$10000&lt;&gt;"")=VALUE(INDEX(IdClientes,MATCH(EFP2,Clientes,0))))</f>
        <v>#VALUE!</v>
      </c>
      <c r="EFQ3" s="28" t="e" cm="1" vm="1">
        <f t="array" ref="EFQ3">_xlfn._xlws.FILTER(Rutas,_xlfn._xlws.FILTER($B$2:$B$10000,$B$2:$B$10000&lt;&gt;"")=VALUE(INDEX(IdClientes,MATCH(EFQ2,Clientes,0))))</f>
        <v>#VALUE!</v>
      </c>
      <c r="EFR3" s="28" t="e" cm="1" vm="1">
        <f t="array" ref="EFR3">_xlfn._xlws.FILTER(Rutas,_xlfn._xlws.FILTER($B$2:$B$10000,$B$2:$B$10000&lt;&gt;"")=VALUE(INDEX(IdClientes,MATCH(EFR2,Clientes,0))))</f>
        <v>#VALUE!</v>
      </c>
      <c r="EFS3" s="28" t="e" cm="1" vm="1">
        <f t="array" ref="EFS3">_xlfn._xlws.FILTER(Rutas,_xlfn._xlws.FILTER($B$2:$B$10000,$B$2:$B$10000&lt;&gt;"")=VALUE(INDEX(IdClientes,MATCH(EFS2,Clientes,0))))</f>
        <v>#VALUE!</v>
      </c>
      <c r="EFT3" s="28" t="e" cm="1" vm="1">
        <f t="array" ref="EFT3">_xlfn._xlws.FILTER(Rutas,_xlfn._xlws.FILTER($B$2:$B$10000,$B$2:$B$10000&lt;&gt;"")=VALUE(INDEX(IdClientes,MATCH(EFT2,Clientes,0))))</f>
        <v>#VALUE!</v>
      </c>
      <c r="EFU3" s="28" t="e" cm="1" vm="1">
        <f t="array" ref="EFU3">_xlfn._xlws.FILTER(Rutas,_xlfn._xlws.FILTER($B$2:$B$10000,$B$2:$B$10000&lt;&gt;"")=VALUE(INDEX(IdClientes,MATCH(EFU2,Clientes,0))))</f>
        <v>#VALUE!</v>
      </c>
      <c r="EFV3" s="28" t="e" cm="1" vm="1">
        <f t="array" ref="EFV3">_xlfn._xlws.FILTER(Rutas,_xlfn._xlws.FILTER($B$2:$B$10000,$B$2:$B$10000&lt;&gt;"")=VALUE(INDEX(IdClientes,MATCH(EFV2,Clientes,0))))</f>
        <v>#VALUE!</v>
      </c>
      <c r="EFW3" s="28" t="e" cm="1" vm="1">
        <f t="array" ref="EFW3">_xlfn._xlws.FILTER(Rutas,_xlfn._xlws.FILTER($B$2:$B$10000,$B$2:$B$10000&lt;&gt;"")=VALUE(INDEX(IdClientes,MATCH(EFW2,Clientes,0))))</f>
        <v>#VALUE!</v>
      </c>
      <c r="EFX3" s="28" t="e" cm="1" vm="1">
        <f t="array" ref="EFX3">_xlfn._xlws.FILTER(Rutas,_xlfn._xlws.FILTER($B$2:$B$10000,$B$2:$B$10000&lt;&gt;"")=VALUE(INDEX(IdClientes,MATCH(EFX2,Clientes,0))))</f>
        <v>#VALUE!</v>
      </c>
      <c r="EFY3" s="28" t="e" cm="1" vm="1">
        <f t="array" ref="EFY3">_xlfn._xlws.FILTER(Rutas,_xlfn._xlws.FILTER($B$2:$B$10000,$B$2:$B$10000&lt;&gt;"")=VALUE(INDEX(IdClientes,MATCH(EFY2,Clientes,0))))</f>
        <v>#VALUE!</v>
      </c>
      <c r="EFZ3" s="28" t="e" cm="1" vm="1">
        <f t="array" ref="EFZ3">_xlfn._xlws.FILTER(Rutas,_xlfn._xlws.FILTER($B$2:$B$10000,$B$2:$B$10000&lt;&gt;"")=VALUE(INDEX(IdClientes,MATCH(EFZ2,Clientes,0))))</f>
        <v>#VALUE!</v>
      </c>
      <c r="EGA3" s="28" t="e" cm="1" vm="1">
        <f t="array" ref="EGA3">_xlfn._xlws.FILTER(Rutas,_xlfn._xlws.FILTER($B$2:$B$10000,$B$2:$B$10000&lt;&gt;"")=VALUE(INDEX(IdClientes,MATCH(EGA2,Clientes,0))))</f>
        <v>#VALUE!</v>
      </c>
      <c r="EGB3" s="28" t="e" cm="1" vm="1">
        <f t="array" ref="EGB3">_xlfn._xlws.FILTER(Rutas,_xlfn._xlws.FILTER($B$2:$B$10000,$B$2:$B$10000&lt;&gt;"")=VALUE(INDEX(IdClientes,MATCH(EGB2,Clientes,0))))</f>
        <v>#VALUE!</v>
      </c>
      <c r="EGC3" s="28" t="e" cm="1" vm="1">
        <f t="array" ref="EGC3">_xlfn._xlws.FILTER(Rutas,_xlfn._xlws.FILTER($B$2:$B$10000,$B$2:$B$10000&lt;&gt;"")=VALUE(INDEX(IdClientes,MATCH(EGC2,Clientes,0))))</f>
        <v>#VALUE!</v>
      </c>
      <c r="EGD3" s="28" t="e" cm="1" vm="1">
        <f t="array" ref="EGD3">_xlfn._xlws.FILTER(Rutas,_xlfn._xlws.FILTER($B$2:$B$10000,$B$2:$B$10000&lt;&gt;"")=VALUE(INDEX(IdClientes,MATCH(EGD2,Clientes,0))))</f>
        <v>#VALUE!</v>
      </c>
      <c r="EGE3" s="28" t="e" cm="1" vm="1">
        <f t="array" ref="EGE3">_xlfn._xlws.FILTER(Rutas,_xlfn._xlws.FILTER($B$2:$B$10000,$B$2:$B$10000&lt;&gt;"")=VALUE(INDEX(IdClientes,MATCH(EGE2,Clientes,0))))</f>
        <v>#VALUE!</v>
      </c>
      <c r="EGF3" s="28" t="e" cm="1" vm="1">
        <f t="array" ref="EGF3">_xlfn._xlws.FILTER(Rutas,_xlfn._xlws.FILTER($B$2:$B$10000,$B$2:$B$10000&lt;&gt;"")=VALUE(INDEX(IdClientes,MATCH(EGF2,Clientes,0))))</f>
        <v>#VALUE!</v>
      </c>
      <c r="EGG3" s="28" t="e" cm="1" vm="1">
        <f t="array" ref="EGG3">_xlfn._xlws.FILTER(Rutas,_xlfn._xlws.FILTER($B$2:$B$10000,$B$2:$B$10000&lt;&gt;"")=VALUE(INDEX(IdClientes,MATCH(EGG2,Clientes,0))))</f>
        <v>#VALUE!</v>
      </c>
      <c r="EGH3" s="28" t="e" cm="1" vm="1">
        <f t="array" ref="EGH3">_xlfn._xlws.FILTER(Rutas,_xlfn._xlws.FILTER($B$2:$B$10000,$B$2:$B$10000&lt;&gt;"")=VALUE(INDEX(IdClientes,MATCH(EGH2,Clientes,0))))</f>
        <v>#VALUE!</v>
      </c>
      <c r="EGI3" s="28" t="e" cm="1" vm="1">
        <f t="array" ref="EGI3">_xlfn._xlws.FILTER(Rutas,_xlfn._xlws.FILTER($B$2:$B$10000,$B$2:$B$10000&lt;&gt;"")=VALUE(INDEX(IdClientes,MATCH(EGI2,Clientes,0))))</f>
        <v>#VALUE!</v>
      </c>
      <c r="EGJ3" s="28" t="e" cm="1" vm="1">
        <f t="array" ref="EGJ3">_xlfn._xlws.FILTER(Rutas,_xlfn._xlws.FILTER($B$2:$B$10000,$B$2:$B$10000&lt;&gt;"")=VALUE(INDEX(IdClientes,MATCH(EGJ2,Clientes,0))))</f>
        <v>#VALUE!</v>
      </c>
      <c r="EGK3" s="28" t="e" cm="1" vm="1">
        <f t="array" ref="EGK3">_xlfn._xlws.FILTER(Rutas,_xlfn._xlws.FILTER($B$2:$B$10000,$B$2:$B$10000&lt;&gt;"")=VALUE(INDEX(IdClientes,MATCH(EGK2,Clientes,0))))</f>
        <v>#VALUE!</v>
      </c>
      <c r="EGL3" s="28" t="e" cm="1" vm="1">
        <f t="array" ref="EGL3">_xlfn._xlws.FILTER(Rutas,_xlfn._xlws.FILTER($B$2:$B$10000,$B$2:$B$10000&lt;&gt;"")=VALUE(INDEX(IdClientes,MATCH(EGL2,Clientes,0))))</f>
        <v>#VALUE!</v>
      </c>
      <c r="EGM3" s="28" t="e" cm="1" vm="1">
        <f t="array" ref="EGM3">_xlfn._xlws.FILTER(Rutas,_xlfn._xlws.FILTER($B$2:$B$10000,$B$2:$B$10000&lt;&gt;"")=VALUE(INDEX(IdClientes,MATCH(EGM2,Clientes,0))))</f>
        <v>#VALUE!</v>
      </c>
      <c r="EGN3" s="28" t="e" cm="1" vm="1">
        <f t="array" ref="EGN3">_xlfn._xlws.FILTER(Rutas,_xlfn._xlws.FILTER($B$2:$B$10000,$B$2:$B$10000&lt;&gt;"")=VALUE(INDEX(IdClientes,MATCH(EGN2,Clientes,0))))</f>
        <v>#VALUE!</v>
      </c>
      <c r="EGO3" s="28" t="e" cm="1" vm="1">
        <f t="array" ref="EGO3">_xlfn._xlws.FILTER(Rutas,_xlfn._xlws.FILTER($B$2:$B$10000,$B$2:$B$10000&lt;&gt;"")=VALUE(INDEX(IdClientes,MATCH(EGO2,Clientes,0))))</f>
        <v>#VALUE!</v>
      </c>
      <c r="EGP3" s="28" t="e" cm="1" vm="1">
        <f t="array" ref="EGP3">_xlfn._xlws.FILTER(Rutas,_xlfn._xlws.FILTER($B$2:$B$10000,$B$2:$B$10000&lt;&gt;"")=VALUE(INDEX(IdClientes,MATCH(EGP2,Clientes,0))))</f>
        <v>#VALUE!</v>
      </c>
      <c r="EGQ3" s="28" t="e" cm="1" vm="1">
        <f t="array" ref="EGQ3">_xlfn._xlws.FILTER(Rutas,_xlfn._xlws.FILTER($B$2:$B$10000,$B$2:$B$10000&lt;&gt;"")=VALUE(INDEX(IdClientes,MATCH(EGQ2,Clientes,0))))</f>
        <v>#VALUE!</v>
      </c>
      <c r="EGR3" s="28" t="e" cm="1" vm="1">
        <f t="array" ref="EGR3">_xlfn._xlws.FILTER(Rutas,_xlfn._xlws.FILTER($B$2:$B$10000,$B$2:$B$10000&lt;&gt;"")=VALUE(INDEX(IdClientes,MATCH(EGR2,Clientes,0))))</f>
        <v>#VALUE!</v>
      </c>
      <c r="EGS3" s="28" t="e" cm="1" vm="1">
        <f t="array" ref="EGS3">_xlfn._xlws.FILTER(Rutas,_xlfn._xlws.FILTER($B$2:$B$10000,$B$2:$B$10000&lt;&gt;"")=VALUE(INDEX(IdClientes,MATCH(EGS2,Clientes,0))))</f>
        <v>#VALUE!</v>
      </c>
      <c r="EGT3" s="28" t="e" cm="1" vm="1">
        <f t="array" ref="EGT3">_xlfn._xlws.FILTER(Rutas,_xlfn._xlws.FILTER($B$2:$B$10000,$B$2:$B$10000&lt;&gt;"")=VALUE(INDEX(IdClientes,MATCH(EGT2,Clientes,0))))</f>
        <v>#VALUE!</v>
      </c>
      <c r="EGU3" s="28" t="e" cm="1" vm="1">
        <f t="array" ref="EGU3">_xlfn._xlws.FILTER(Rutas,_xlfn._xlws.FILTER($B$2:$B$10000,$B$2:$B$10000&lt;&gt;"")=VALUE(INDEX(IdClientes,MATCH(EGU2,Clientes,0))))</f>
        <v>#VALUE!</v>
      </c>
      <c r="EGV3" s="28" t="e" cm="1" vm="1">
        <f t="array" ref="EGV3">_xlfn._xlws.FILTER(Rutas,_xlfn._xlws.FILTER($B$2:$B$10000,$B$2:$B$10000&lt;&gt;"")=VALUE(INDEX(IdClientes,MATCH(EGV2,Clientes,0))))</f>
        <v>#VALUE!</v>
      </c>
      <c r="EGW3" s="28" t="e" cm="1" vm="1">
        <f t="array" ref="EGW3">_xlfn._xlws.FILTER(Rutas,_xlfn._xlws.FILTER($B$2:$B$10000,$B$2:$B$10000&lt;&gt;"")=VALUE(INDEX(IdClientes,MATCH(EGW2,Clientes,0))))</f>
        <v>#VALUE!</v>
      </c>
      <c r="EGX3" s="28" t="e" cm="1" vm="1">
        <f t="array" ref="EGX3">_xlfn._xlws.FILTER(Rutas,_xlfn._xlws.FILTER($B$2:$B$10000,$B$2:$B$10000&lt;&gt;"")=VALUE(INDEX(IdClientes,MATCH(EGX2,Clientes,0))))</f>
        <v>#VALUE!</v>
      </c>
      <c r="EGY3" s="28" t="e" cm="1" vm="1">
        <f t="array" ref="EGY3">_xlfn._xlws.FILTER(Rutas,_xlfn._xlws.FILTER($B$2:$B$10000,$B$2:$B$10000&lt;&gt;"")=VALUE(INDEX(IdClientes,MATCH(EGY2,Clientes,0))))</f>
        <v>#VALUE!</v>
      </c>
      <c r="EGZ3" s="28" t="e" cm="1" vm="1">
        <f t="array" ref="EGZ3">_xlfn._xlws.FILTER(Rutas,_xlfn._xlws.FILTER($B$2:$B$10000,$B$2:$B$10000&lt;&gt;"")=VALUE(INDEX(IdClientes,MATCH(EGZ2,Clientes,0))))</f>
        <v>#VALUE!</v>
      </c>
      <c r="EHA3" s="28" t="e" cm="1" vm="1">
        <f t="array" ref="EHA3">_xlfn._xlws.FILTER(Rutas,_xlfn._xlws.FILTER($B$2:$B$10000,$B$2:$B$10000&lt;&gt;"")=VALUE(INDEX(IdClientes,MATCH(EHA2,Clientes,0))))</f>
        <v>#VALUE!</v>
      </c>
      <c r="EHB3" s="28" t="e" cm="1" vm="1">
        <f t="array" ref="EHB3">_xlfn._xlws.FILTER(Rutas,_xlfn._xlws.FILTER($B$2:$B$10000,$B$2:$B$10000&lt;&gt;"")=VALUE(INDEX(IdClientes,MATCH(EHB2,Clientes,0))))</f>
        <v>#VALUE!</v>
      </c>
      <c r="EHC3" s="28" t="e" cm="1" vm="1">
        <f t="array" ref="EHC3">_xlfn._xlws.FILTER(Rutas,_xlfn._xlws.FILTER($B$2:$B$10000,$B$2:$B$10000&lt;&gt;"")=VALUE(INDEX(IdClientes,MATCH(EHC2,Clientes,0))))</f>
        <v>#VALUE!</v>
      </c>
      <c r="EHD3" s="28" t="e" cm="1" vm="1">
        <f t="array" ref="EHD3">_xlfn._xlws.FILTER(Rutas,_xlfn._xlws.FILTER($B$2:$B$10000,$B$2:$B$10000&lt;&gt;"")=VALUE(INDEX(IdClientes,MATCH(EHD2,Clientes,0))))</f>
        <v>#VALUE!</v>
      </c>
      <c r="EHE3" s="28" t="e" cm="1" vm="1">
        <f t="array" ref="EHE3">_xlfn._xlws.FILTER(Rutas,_xlfn._xlws.FILTER($B$2:$B$10000,$B$2:$B$10000&lt;&gt;"")=VALUE(INDEX(IdClientes,MATCH(EHE2,Clientes,0))))</f>
        <v>#VALUE!</v>
      </c>
      <c r="EHF3" s="28" t="e" cm="1" vm="1">
        <f t="array" ref="EHF3">_xlfn._xlws.FILTER(Rutas,_xlfn._xlws.FILTER($B$2:$B$10000,$B$2:$B$10000&lt;&gt;"")=VALUE(INDEX(IdClientes,MATCH(EHF2,Clientes,0))))</f>
        <v>#VALUE!</v>
      </c>
      <c r="EHG3" s="28" t="e" cm="1" vm="1">
        <f t="array" ref="EHG3">_xlfn._xlws.FILTER(Rutas,_xlfn._xlws.FILTER($B$2:$B$10000,$B$2:$B$10000&lt;&gt;"")=VALUE(INDEX(IdClientes,MATCH(EHG2,Clientes,0))))</f>
        <v>#VALUE!</v>
      </c>
      <c r="EHH3" s="28" t="e" cm="1" vm="1">
        <f t="array" ref="EHH3">_xlfn._xlws.FILTER(Rutas,_xlfn._xlws.FILTER($B$2:$B$10000,$B$2:$B$10000&lt;&gt;"")=VALUE(INDEX(IdClientes,MATCH(EHH2,Clientes,0))))</f>
        <v>#VALUE!</v>
      </c>
      <c r="EHI3" s="28" t="e" cm="1" vm="1">
        <f t="array" ref="EHI3">_xlfn._xlws.FILTER(Rutas,_xlfn._xlws.FILTER($B$2:$B$10000,$B$2:$B$10000&lt;&gt;"")=VALUE(INDEX(IdClientes,MATCH(EHI2,Clientes,0))))</f>
        <v>#VALUE!</v>
      </c>
      <c r="EHJ3" s="28" t="e" cm="1" vm="1">
        <f t="array" ref="EHJ3">_xlfn._xlws.FILTER(Rutas,_xlfn._xlws.FILTER($B$2:$B$10000,$B$2:$B$10000&lt;&gt;"")=VALUE(INDEX(IdClientes,MATCH(EHJ2,Clientes,0))))</f>
        <v>#VALUE!</v>
      </c>
      <c r="EHK3" s="28" t="e" cm="1" vm="1">
        <f t="array" ref="EHK3">_xlfn._xlws.FILTER(Rutas,_xlfn._xlws.FILTER($B$2:$B$10000,$B$2:$B$10000&lt;&gt;"")=VALUE(INDEX(IdClientes,MATCH(EHK2,Clientes,0))))</f>
        <v>#VALUE!</v>
      </c>
      <c r="EHL3" s="28" t="e" cm="1" vm="1">
        <f t="array" ref="EHL3">_xlfn._xlws.FILTER(Rutas,_xlfn._xlws.FILTER($B$2:$B$10000,$B$2:$B$10000&lt;&gt;"")=VALUE(INDEX(IdClientes,MATCH(EHL2,Clientes,0))))</f>
        <v>#VALUE!</v>
      </c>
      <c r="EHM3" s="28" t="e" cm="1" vm="1">
        <f t="array" ref="EHM3">_xlfn._xlws.FILTER(Rutas,_xlfn._xlws.FILTER($B$2:$B$10000,$B$2:$B$10000&lt;&gt;"")=VALUE(INDEX(IdClientes,MATCH(EHM2,Clientes,0))))</f>
        <v>#VALUE!</v>
      </c>
      <c r="EHN3" s="28" t="e" cm="1" vm="1">
        <f t="array" ref="EHN3">_xlfn._xlws.FILTER(Rutas,_xlfn._xlws.FILTER($B$2:$B$10000,$B$2:$B$10000&lt;&gt;"")=VALUE(INDEX(IdClientes,MATCH(EHN2,Clientes,0))))</f>
        <v>#VALUE!</v>
      </c>
      <c r="EHO3" s="28" t="e" cm="1" vm="1">
        <f t="array" ref="EHO3">_xlfn._xlws.FILTER(Rutas,_xlfn._xlws.FILTER($B$2:$B$10000,$B$2:$B$10000&lt;&gt;"")=VALUE(INDEX(IdClientes,MATCH(EHO2,Clientes,0))))</f>
        <v>#VALUE!</v>
      </c>
      <c r="EHP3" s="28" t="e" cm="1" vm="1">
        <f t="array" ref="EHP3">_xlfn._xlws.FILTER(Rutas,_xlfn._xlws.FILTER($B$2:$B$10000,$B$2:$B$10000&lt;&gt;"")=VALUE(INDEX(IdClientes,MATCH(EHP2,Clientes,0))))</f>
        <v>#VALUE!</v>
      </c>
      <c r="EHQ3" s="28" t="e" cm="1" vm="1">
        <f t="array" ref="EHQ3">_xlfn._xlws.FILTER(Rutas,_xlfn._xlws.FILTER($B$2:$B$10000,$B$2:$B$10000&lt;&gt;"")=VALUE(INDEX(IdClientes,MATCH(EHQ2,Clientes,0))))</f>
        <v>#VALUE!</v>
      </c>
      <c r="EHR3" s="28" t="e" cm="1" vm="1">
        <f t="array" ref="EHR3">_xlfn._xlws.FILTER(Rutas,_xlfn._xlws.FILTER($B$2:$B$10000,$B$2:$B$10000&lt;&gt;"")=VALUE(INDEX(IdClientes,MATCH(EHR2,Clientes,0))))</f>
        <v>#VALUE!</v>
      </c>
      <c r="EHS3" s="28" t="e" cm="1" vm="1">
        <f t="array" ref="EHS3">_xlfn._xlws.FILTER(Rutas,_xlfn._xlws.FILTER($B$2:$B$10000,$B$2:$B$10000&lt;&gt;"")=VALUE(INDEX(IdClientes,MATCH(EHS2,Clientes,0))))</f>
        <v>#VALUE!</v>
      </c>
      <c r="EHT3" s="28" t="e" cm="1" vm="1">
        <f t="array" ref="EHT3">_xlfn._xlws.FILTER(Rutas,_xlfn._xlws.FILTER($B$2:$B$10000,$B$2:$B$10000&lt;&gt;"")=VALUE(INDEX(IdClientes,MATCH(EHT2,Clientes,0))))</f>
        <v>#VALUE!</v>
      </c>
      <c r="EHU3" s="28" t="e" cm="1" vm="1">
        <f t="array" ref="EHU3">_xlfn._xlws.FILTER(Rutas,_xlfn._xlws.FILTER($B$2:$B$10000,$B$2:$B$10000&lt;&gt;"")=VALUE(INDEX(IdClientes,MATCH(EHU2,Clientes,0))))</f>
        <v>#VALUE!</v>
      </c>
      <c r="EHV3" s="28" t="e" cm="1" vm="1">
        <f t="array" ref="EHV3">_xlfn._xlws.FILTER(Rutas,_xlfn._xlws.FILTER($B$2:$B$10000,$B$2:$B$10000&lt;&gt;"")=VALUE(INDEX(IdClientes,MATCH(EHV2,Clientes,0))))</f>
        <v>#VALUE!</v>
      </c>
      <c r="EHW3" s="28" t="e" cm="1" vm="1">
        <f t="array" ref="EHW3">_xlfn._xlws.FILTER(Rutas,_xlfn._xlws.FILTER($B$2:$B$10000,$B$2:$B$10000&lt;&gt;"")=VALUE(INDEX(IdClientes,MATCH(EHW2,Clientes,0))))</f>
        <v>#VALUE!</v>
      </c>
      <c r="EHX3" s="28" t="e" cm="1" vm="1">
        <f t="array" ref="EHX3">_xlfn._xlws.FILTER(Rutas,_xlfn._xlws.FILTER($B$2:$B$10000,$B$2:$B$10000&lt;&gt;"")=VALUE(INDEX(IdClientes,MATCH(EHX2,Clientes,0))))</f>
        <v>#VALUE!</v>
      </c>
      <c r="EHY3" s="28" t="e" cm="1" vm="1">
        <f t="array" ref="EHY3">_xlfn._xlws.FILTER(Rutas,_xlfn._xlws.FILTER($B$2:$B$10000,$B$2:$B$10000&lt;&gt;"")=VALUE(INDEX(IdClientes,MATCH(EHY2,Clientes,0))))</f>
        <v>#VALUE!</v>
      </c>
      <c r="EHZ3" s="28" t="e" cm="1" vm="1">
        <f t="array" ref="EHZ3">_xlfn._xlws.FILTER(Rutas,_xlfn._xlws.FILTER($B$2:$B$10000,$B$2:$B$10000&lt;&gt;"")=VALUE(INDEX(IdClientes,MATCH(EHZ2,Clientes,0))))</f>
        <v>#VALUE!</v>
      </c>
      <c r="EIA3" s="28" t="e" cm="1" vm="1">
        <f t="array" ref="EIA3">_xlfn._xlws.FILTER(Rutas,_xlfn._xlws.FILTER($B$2:$B$10000,$B$2:$B$10000&lt;&gt;"")=VALUE(INDEX(IdClientes,MATCH(EIA2,Clientes,0))))</f>
        <v>#VALUE!</v>
      </c>
      <c r="EIB3" s="28" t="e" cm="1" vm="1">
        <f t="array" ref="EIB3">_xlfn._xlws.FILTER(Rutas,_xlfn._xlws.FILTER($B$2:$B$10000,$B$2:$B$10000&lt;&gt;"")=VALUE(INDEX(IdClientes,MATCH(EIB2,Clientes,0))))</f>
        <v>#VALUE!</v>
      </c>
      <c r="EIC3" s="28" t="e" cm="1" vm="1">
        <f t="array" ref="EIC3">_xlfn._xlws.FILTER(Rutas,_xlfn._xlws.FILTER($B$2:$B$10000,$B$2:$B$10000&lt;&gt;"")=VALUE(INDEX(IdClientes,MATCH(EIC2,Clientes,0))))</f>
        <v>#VALUE!</v>
      </c>
      <c r="EID3" s="28" t="e" cm="1" vm="1">
        <f t="array" ref="EID3">_xlfn._xlws.FILTER(Rutas,_xlfn._xlws.FILTER($B$2:$B$10000,$B$2:$B$10000&lt;&gt;"")=VALUE(INDEX(IdClientes,MATCH(EID2,Clientes,0))))</f>
        <v>#VALUE!</v>
      </c>
      <c r="EIE3" s="28" t="e" cm="1" vm="1">
        <f t="array" ref="EIE3">_xlfn._xlws.FILTER(Rutas,_xlfn._xlws.FILTER($B$2:$B$10000,$B$2:$B$10000&lt;&gt;"")=VALUE(INDEX(IdClientes,MATCH(EIE2,Clientes,0))))</f>
        <v>#VALUE!</v>
      </c>
      <c r="EIF3" s="28" t="e" cm="1" vm="1">
        <f t="array" ref="EIF3">_xlfn._xlws.FILTER(Rutas,_xlfn._xlws.FILTER($B$2:$B$10000,$B$2:$B$10000&lt;&gt;"")=VALUE(INDEX(IdClientes,MATCH(EIF2,Clientes,0))))</f>
        <v>#VALUE!</v>
      </c>
      <c r="EIG3" s="28" t="e" cm="1" vm="1">
        <f t="array" ref="EIG3">_xlfn._xlws.FILTER(Rutas,_xlfn._xlws.FILTER($B$2:$B$10000,$B$2:$B$10000&lt;&gt;"")=VALUE(INDEX(IdClientes,MATCH(EIG2,Clientes,0))))</f>
        <v>#VALUE!</v>
      </c>
      <c r="EIH3" s="28" t="e" cm="1" vm="1">
        <f t="array" ref="EIH3">_xlfn._xlws.FILTER(Rutas,_xlfn._xlws.FILTER($B$2:$B$10000,$B$2:$B$10000&lt;&gt;"")=VALUE(INDEX(IdClientes,MATCH(EIH2,Clientes,0))))</f>
        <v>#VALUE!</v>
      </c>
      <c r="EII3" s="28" t="e" cm="1" vm="1">
        <f t="array" ref="EII3">_xlfn._xlws.FILTER(Rutas,_xlfn._xlws.FILTER($B$2:$B$10000,$B$2:$B$10000&lt;&gt;"")=VALUE(INDEX(IdClientes,MATCH(EII2,Clientes,0))))</f>
        <v>#VALUE!</v>
      </c>
      <c r="EIJ3" s="28" t="e" cm="1" vm="1">
        <f t="array" ref="EIJ3">_xlfn._xlws.FILTER(Rutas,_xlfn._xlws.FILTER($B$2:$B$10000,$B$2:$B$10000&lt;&gt;"")=VALUE(INDEX(IdClientes,MATCH(EIJ2,Clientes,0))))</f>
        <v>#VALUE!</v>
      </c>
      <c r="EIK3" s="28" t="e" cm="1" vm="1">
        <f t="array" ref="EIK3">_xlfn._xlws.FILTER(Rutas,_xlfn._xlws.FILTER($B$2:$B$10000,$B$2:$B$10000&lt;&gt;"")=VALUE(INDEX(IdClientes,MATCH(EIK2,Clientes,0))))</f>
        <v>#VALUE!</v>
      </c>
      <c r="EIL3" s="28" t="e" cm="1" vm="1">
        <f t="array" ref="EIL3">_xlfn._xlws.FILTER(Rutas,_xlfn._xlws.FILTER($B$2:$B$10000,$B$2:$B$10000&lt;&gt;"")=VALUE(INDEX(IdClientes,MATCH(EIL2,Clientes,0))))</f>
        <v>#VALUE!</v>
      </c>
      <c r="EIM3" s="28" t="e" cm="1" vm="1">
        <f t="array" ref="EIM3">_xlfn._xlws.FILTER(Rutas,_xlfn._xlws.FILTER($B$2:$B$10000,$B$2:$B$10000&lt;&gt;"")=VALUE(INDEX(IdClientes,MATCH(EIM2,Clientes,0))))</f>
        <v>#VALUE!</v>
      </c>
      <c r="EIN3" s="28" t="e" cm="1" vm="1">
        <f t="array" ref="EIN3">_xlfn._xlws.FILTER(Rutas,_xlfn._xlws.FILTER($B$2:$B$10000,$B$2:$B$10000&lt;&gt;"")=VALUE(INDEX(IdClientes,MATCH(EIN2,Clientes,0))))</f>
        <v>#VALUE!</v>
      </c>
      <c r="EIO3" s="28" t="e" cm="1" vm="1">
        <f t="array" ref="EIO3">_xlfn._xlws.FILTER(Rutas,_xlfn._xlws.FILTER($B$2:$B$10000,$B$2:$B$10000&lt;&gt;"")=VALUE(INDEX(IdClientes,MATCH(EIO2,Clientes,0))))</f>
        <v>#VALUE!</v>
      </c>
      <c r="EIP3" s="28" t="e" cm="1" vm="1">
        <f t="array" ref="EIP3">_xlfn._xlws.FILTER(Rutas,_xlfn._xlws.FILTER($B$2:$B$10000,$B$2:$B$10000&lt;&gt;"")=VALUE(INDEX(IdClientes,MATCH(EIP2,Clientes,0))))</f>
        <v>#VALUE!</v>
      </c>
      <c r="EIQ3" s="28" t="e" cm="1" vm="1">
        <f t="array" ref="EIQ3">_xlfn._xlws.FILTER(Rutas,_xlfn._xlws.FILTER($B$2:$B$10000,$B$2:$B$10000&lt;&gt;"")=VALUE(INDEX(IdClientes,MATCH(EIQ2,Clientes,0))))</f>
        <v>#VALUE!</v>
      </c>
      <c r="EIR3" s="28" t="e" cm="1" vm="1">
        <f t="array" ref="EIR3">_xlfn._xlws.FILTER(Rutas,_xlfn._xlws.FILTER($B$2:$B$10000,$B$2:$B$10000&lt;&gt;"")=VALUE(INDEX(IdClientes,MATCH(EIR2,Clientes,0))))</f>
        <v>#VALUE!</v>
      </c>
      <c r="EIS3" s="28" t="e" cm="1" vm="1">
        <f t="array" ref="EIS3">_xlfn._xlws.FILTER(Rutas,_xlfn._xlws.FILTER($B$2:$B$10000,$B$2:$B$10000&lt;&gt;"")=VALUE(INDEX(IdClientes,MATCH(EIS2,Clientes,0))))</f>
        <v>#VALUE!</v>
      </c>
      <c r="EIT3" s="28" t="e" cm="1" vm="1">
        <f t="array" ref="EIT3">_xlfn._xlws.FILTER(Rutas,_xlfn._xlws.FILTER($B$2:$B$10000,$B$2:$B$10000&lt;&gt;"")=VALUE(INDEX(IdClientes,MATCH(EIT2,Clientes,0))))</f>
        <v>#VALUE!</v>
      </c>
      <c r="EIU3" s="28" t="e" cm="1" vm="1">
        <f t="array" ref="EIU3">_xlfn._xlws.FILTER(Rutas,_xlfn._xlws.FILTER($B$2:$B$10000,$B$2:$B$10000&lt;&gt;"")=VALUE(INDEX(IdClientes,MATCH(EIU2,Clientes,0))))</f>
        <v>#VALUE!</v>
      </c>
      <c r="EIV3" s="28" t="e" cm="1" vm="1">
        <f t="array" ref="EIV3">_xlfn._xlws.FILTER(Rutas,_xlfn._xlws.FILTER($B$2:$B$10000,$B$2:$B$10000&lt;&gt;"")=VALUE(INDEX(IdClientes,MATCH(EIV2,Clientes,0))))</f>
        <v>#VALUE!</v>
      </c>
      <c r="EIW3" s="28" t="e" cm="1" vm="1">
        <f t="array" ref="EIW3">_xlfn._xlws.FILTER(Rutas,_xlfn._xlws.FILTER($B$2:$B$10000,$B$2:$B$10000&lt;&gt;"")=VALUE(INDEX(IdClientes,MATCH(EIW2,Clientes,0))))</f>
        <v>#VALUE!</v>
      </c>
      <c r="EIX3" s="28" t="e" cm="1" vm="1">
        <f t="array" ref="EIX3">_xlfn._xlws.FILTER(Rutas,_xlfn._xlws.FILTER($B$2:$B$10000,$B$2:$B$10000&lt;&gt;"")=VALUE(INDEX(IdClientes,MATCH(EIX2,Clientes,0))))</f>
        <v>#VALUE!</v>
      </c>
      <c r="EIY3" s="28" t="e" cm="1" vm="1">
        <f t="array" ref="EIY3">_xlfn._xlws.FILTER(Rutas,_xlfn._xlws.FILTER($B$2:$B$10000,$B$2:$B$10000&lt;&gt;"")=VALUE(INDEX(IdClientes,MATCH(EIY2,Clientes,0))))</f>
        <v>#VALUE!</v>
      </c>
      <c r="EIZ3" s="28" t="e" cm="1" vm="1">
        <f t="array" ref="EIZ3">_xlfn._xlws.FILTER(Rutas,_xlfn._xlws.FILTER($B$2:$B$10000,$B$2:$B$10000&lt;&gt;"")=VALUE(INDEX(IdClientes,MATCH(EIZ2,Clientes,0))))</f>
        <v>#VALUE!</v>
      </c>
      <c r="EJA3" s="28" t="e" cm="1" vm="1">
        <f t="array" ref="EJA3">_xlfn._xlws.FILTER(Rutas,_xlfn._xlws.FILTER($B$2:$B$10000,$B$2:$B$10000&lt;&gt;"")=VALUE(INDEX(IdClientes,MATCH(EJA2,Clientes,0))))</f>
        <v>#VALUE!</v>
      </c>
      <c r="EJB3" s="28" t="e" cm="1" vm="1">
        <f t="array" ref="EJB3">_xlfn._xlws.FILTER(Rutas,_xlfn._xlws.FILTER($B$2:$B$10000,$B$2:$B$10000&lt;&gt;"")=VALUE(INDEX(IdClientes,MATCH(EJB2,Clientes,0))))</f>
        <v>#VALUE!</v>
      </c>
      <c r="EJC3" s="28" t="e" cm="1" vm="1">
        <f t="array" ref="EJC3">_xlfn._xlws.FILTER(Rutas,_xlfn._xlws.FILTER($B$2:$B$10000,$B$2:$B$10000&lt;&gt;"")=VALUE(INDEX(IdClientes,MATCH(EJC2,Clientes,0))))</f>
        <v>#VALUE!</v>
      </c>
      <c r="EJD3" s="28" t="e" cm="1" vm="1">
        <f t="array" ref="EJD3">_xlfn._xlws.FILTER(Rutas,_xlfn._xlws.FILTER($B$2:$B$10000,$B$2:$B$10000&lt;&gt;"")=VALUE(INDEX(IdClientes,MATCH(EJD2,Clientes,0))))</f>
        <v>#VALUE!</v>
      </c>
      <c r="EJE3" s="28" t="e" cm="1" vm="1">
        <f t="array" ref="EJE3">_xlfn._xlws.FILTER(Rutas,_xlfn._xlws.FILTER($B$2:$B$10000,$B$2:$B$10000&lt;&gt;"")=VALUE(INDEX(IdClientes,MATCH(EJE2,Clientes,0))))</f>
        <v>#VALUE!</v>
      </c>
      <c r="EJF3" s="28" t="e" cm="1" vm="1">
        <f t="array" ref="EJF3">_xlfn._xlws.FILTER(Rutas,_xlfn._xlws.FILTER($B$2:$B$10000,$B$2:$B$10000&lt;&gt;"")=VALUE(INDEX(IdClientes,MATCH(EJF2,Clientes,0))))</f>
        <v>#VALUE!</v>
      </c>
      <c r="EJG3" s="28" t="e" cm="1" vm="1">
        <f t="array" ref="EJG3">_xlfn._xlws.FILTER(Rutas,_xlfn._xlws.FILTER($B$2:$B$10000,$B$2:$B$10000&lt;&gt;"")=VALUE(INDEX(IdClientes,MATCH(EJG2,Clientes,0))))</f>
        <v>#VALUE!</v>
      </c>
      <c r="EJH3" s="28" t="e" cm="1" vm="1">
        <f t="array" ref="EJH3">_xlfn._xlws.FILTER(Rutas,_xlfn._xlws.FILTER($B$2:$B$10000,$B$2:$B$10000&lt;&gt;"")=VALUE(INDEX(IdClientes,MATCH(EJH2,Clientes,0))))</f>
        <v>#VALUE!</v>
      </c>
      <c r="EJI3" s="28" t="e" cm="1" vm="1">
        <f t="array" ref="EJI3">_xlfn._xlws.FILTER(Rutas,_xlfn._xlws.FILTER($B$2:$B$10000,$B$2:$B$10000&lt;&gt;"")=VALUE(INDEX(IdClientes,MATCH(EJI2,Clientes,0))))</f>
        <v>#VALUE!</v>
      </c>
      <c r="EJJ3" s="28" t="e" cm="1" vm="1">
        <f t="array" ref="EJJ3">_xlfn._xlws.FILTER(Rutas,_xlfn._xlws.FILTER($B$2:$B$10000,$B$2:$B$10000&lt;&gt;"")=VALUE(INDEX(IdClientes,MATCH(EJJ2,Clientes,0))))</f>
        <v>#VALUE!</v>
      </c>
      <c r="EJK3" s="28" t="e" cm="1" vm="1">
        <f t="array" ref="EJK3">_xlfn._xlws.FILTER(Rutas,_xlfn._xlws.FILTER($B$2:$B$10000,$B$2:$B$10000&lt;&gt;"")=VALUE(INDEX(IdClientes,MATCH(EJK2,Clientes,0))))</f>
        <v>#VALUE!</v>
      </c>
      <c r="EJL3" s="28" t="e" cm="1" vm="1">
        <f t="array" ref="EJL3">_xlfn._xlws.FILTER(Rutas,_xlfn._xlws.FILTER($B$2:$B$10000,$B$2:$B$10000&lt;&gt;"")=VALUE(INDEX(IdClientes,MATCH(EJL2,Clientes,0))))</f>
        <v>#VALUE!</v>
      </c>
      <c r="EJM3" s="28" t="e" cm="1" vm="1">
        <f t="array" ref="EJM3">_xlfn._xlws.FILTER(Rutas,_xlfn._xlws.FILTER($B$2:$B$10000,$B$2:$B$10000&lt;&gt;"")=VALUE(INDEX(IdClientes,MATCH(EJM2,Clientes,0))))</f>
        <v>#VALUE!</v>
      </c>
      <c r="EJN3" s="28" t="e" cm="1" vm="1">
        <f t="array" ref="EJN3">_xlfn._xlws.FILTER(Rutas,_xlfn._xlws.FILTER($B$2:$B$10000,$B$2:$B$10000&lt;&gt;"")=VALUE(INDEX(IdClientes,MATCH(EJN2,Clientes,0))))</f>
        <v>#VALUE!</v>
      </c>
      <c r="EJO3" s="28" t="e" cm="1" vm="1">
        <f t="array" ref="EJO3">_xlfn._xlws.FILTER(Rutas,_xlfn._xlws.FILTER($B$2:$B$10000,$B$2:$B$10000&lt;&gt;"")=VALUE(INDEX(IdClientes,MATCH(EJO2,Clientes,0))))</f>
        <v>#VALUE!</v>
      </c>
      <c r="EJP3" s="28" t="e" cm="1" vm="1">
        <f t="array" ref="EJP3">_xlfn._xlws.FILTER(Rutas,_xlfn._xlws.FILTER($B$2:$B$10000,$B$2:$B$10000&lt;&gt;"")=VALUE(INDEX(IdClientes,MATCH(EJP2,Clientes,0))))</f>
        <v>#VALUE!</v>
      </c>
      <c r="EJQ3" s="28" t="e" cm="1" vm="1">
        <f t="array" ref="EJQ3">_xlfn._xlws.FILTER(Rutas,_xlfn._xlws.FILTER($B$2:$B$10000,$B$2:$B$10000&lt;&gt;"")=VALUE(INDEX(IdClientes,MATCH(EJQ2,Clientes,0))))</f>
        <v>#VALUE!</v>
      </c>
      <c r="EJR3" s="28" t="e" cm="1" vm="1">
        <f t="array" ref="EJR3">_xlfn._xlws.FILTER(Rutas,_xlfn._xlws.FILTER($B$2:$B$10000,$B$2:$B$10000&lt;&gt;"")=VALUE(INDEX(IdClientes,MATCH(EJR2,Clientes,0))))</f>
        <v>#VALUE!</v>
      </c>
      <c r="EJS3" s="28" t="e" cm="1" vm="1">
        <f t="array" ref="EJS3">_xlfn._xlws.FILTER(Rutas,_xlfn._xlws.FILTER($B$2:$B$10000,$B$2:$B$10000&lt;&gt;"")=VALUE(INDEX(IdClientes,MATCH(EJS2,Clientes,0))))</f>
        <v>#VALUE!</v>
      </c>
      <c r="EJT3" s="28" t="e" cm="1" vm="1">
        <f t="array" ref="EJT3">_xlfn._xlws.FILTER(Rutas,_xlfn._xlws.FILTER($B$2:$B$10000,$B$2:$B$10000&lt;&gt;"")=VALUE(INDEX(IdClientes,MATCH(EJT2,Clientes,0))))</f>
        <v>#VALUE!</v>
      </c>
      <c r="EJU3" s="28" t="e" cm="1" vm="1">
        <f t="array" ref="EJU3">_xlfn._xlws.FILTER(Rutas,_xlfn._xlws.FILTER($B$2:$B$10000,$B$2:$B$10000&lt;&gt;"")=VALUE(INDEX(IdClientes,MATCH(EJU2,Clientes,0))))</f>
        <v>#VALUE!</v>
      </c>
      <c r="EJV3" s="28" t="e" cm="1" vm="1">
        <f t="array" ref="EJV3">_xlfn._xlws.FILTER(Rutas,_xlfn._xlws.FILTER($B$2:$B$10000,$B$2:$B$10000&lt;&gt;"")=VALUE(INDEX(IdClientes,MATCH(EJV2,Clientes,0))))</f>
        <v>#VALUE!</v>
      </c>
      <c r="EJW3" s="28" t="e" cm="1" vm="1">
        <f t="array" ref="EJW3">_xlfn._xlws.FILTER(Rutas,_xlfn._xlws.FILTER($B$2:$B$10000,$B$2:$B$10000&lt;&gt;"")=VALUE(INDEX(IdClientes,MATCH(EJW2,Clientes,0))))</f>
        <v>#VALUE!</v>
      </c>
      <c r="EJX3" s="28" t="e" cm="1" vm="1">
        <f t="array" ref="EJX3">_xlfn._xlws.FILTER(Rutas,_xlfn._xlws.FILTER($B$2:$B$10000,$B$2:$B$10000&lt;&gt;"")=VALUE(INDEX(IdClientes,MATCH(EJX2,Clientes,0))))</f>
        <v>#VALUE!</v>
      </c>
      <c r="EJY3" s="28" t="e" cm="1" vm="1">
        <f t="array" ref="EJY3">_xlfn._xlws.FILTER(Rutas,_xlfn._xlws.FILTER($B$2:$B$10000,$B$2:$B$10000&lt;&gt;"")=VALUE(INDEX(IdClientes,MATCH(EJY2,Clientes,0))))</f>
        <v>#VALUE!</v>
      </c>
      <c r="EJZ3" s="28" t="e" cm="1" vm="1">
        <f t="array" ref="EJZ3">_xlfn._xlws.FILTER(Rutas,_xlfn._xlws.FILTER($B$2:$B$10000,$B$2:$B$10000&lt;&gt;"")=VALUE(INDEX(IdClientes,MATCH(EJZ2,Clientes,0))))</f>
        <v>#VALUE!</v>
      </c>
      <c r="EKA3" s="28" t="e" cm="1" vm="1">
        <f t="array" ref="EKA3">_xlfn._xlws.FILTER(Rutas,_xlfn._xlws.FILTER($B$2:$B$10000,$B$2:$B$10000&lt;&gt;"")=VALUE(INDEX(IdClientes,MATCH(EKA2,Clientes,0))))</f>
        <v>#VALUE!</v>
      </c>
      <c r="EKB3" s="28" t="e" cm="1" vm="1">
        <f t="array" ref="EKB3">_xlfn._xlws.FILTER(Rutas,_xlfn._xlws.FILTER($B$2:$B$10000,$B$2:$B$10000&lt;&gt;"")=VALUE(INDEX(IdClientes,MATCH(EKB2,Clientes,0))))</f>
        <v>#VALUE!</v>
      </c>
      <c r="EKC3" s="28" t="e" cm="1" vm="1">
        <f t="array" ref="EKC3">_xlfn._xlws.FILTER(Rutas,_xlfn._xlws.FILTER($B$2:$B$10000,$B$2:$B$10000&lt;&gt;"")=VALUE(INDEX(IdClientes,MATCH(EKC2,Clientes,0))))</f>
        <v>#VALUE!</v>
      </c>
      <c r="EKD3" s="28" t="e" cm="1" vm="1">
        <f t="array" ref="EKD3">_xlfn._xlws.FILTER(Rutas,_xlfn._xlws.FILTER($B$2:$B$10000,$B$2:$B$10000&lt;&gt;"")=VALUE(INDEX(IdClientes,MATCH(EKD2,Clientes,0))))</f>
        <v>#VALUE!</v>
      </c>
      <c r="EKE3" s="28" t="e" cm="1" vm="1">
        <f t="array" ref="EKE3">_xlfn._xlws.FILTER(Rutas,_xlfn._xlws.FILTER($B$2:$B$10000,$B$2:$B$10000&lt;&gt;"")=VALUE(INDEX(IdClientes,MATCH(EKE2,Clientes,0))))</f>
        <v>#VALUE!</v>
      </c>
      <c r="EKF3" s="28" t="e" cm="1" vm="1">
        <f t="array" ref="EKF3">_xlfn._xlws.FILTER(Rutas,_xlfn._xlws.FILTER($B$2:$B$10000,$B$2:$B$10000&lt;&gt;"")=VALUE(INDEX(IdClientes,MATCH(EKF2,Clientes,0))))</f>
        <v>#VALUE!</v>
      </c>
      <c r="EKG3" s="28" t="e" cm="1" vm="1">
        <f t="array" ref="EKG3">_xlfn._xlws.FILTER(Rutas,_xlfn._xlws.FILTER($B$2:$B$10000,$B$2:$B$10000&lt;&gt;"")=VALUE(INDEX(IdClientes,MATCH(EKG2,Clientes,0))))</f>
        <v>#VALUE!</v>
      </c>
      <c r="EKH3" s="28" t="e" cm="1" vm="1">
        <f t="array" ref="EKH3">_xlfn._xlws.FILTER(Rutas,_xlfn._xlws.FILTER($B$2:$B$10000,$B$2:$B$10000&lt;&gt;"")=VALUE(INDEX(IdClientes,MATCH(EKH2,Clientes,0))))</f>
        <v>#VALUE!</v>
      </c>
      <c r="EKI3" s="28" t="e" cm="1" vm="1">
        <f t="array" ref="EKI3">_xlfn._xlws.FILTER(Rutas,_xlfn._xlws.FILTER($B$2:$B$10000,$B$2:$B$10000&lt;&gt;"")=VALUE(INDEX(IdClientes,MATCH(EKI2,Clientes,0))))</f>
        <v>#VALUE!</v>
      </c>
      <c r="EKJ3" s="28" t="e" cm="1" vm="1">
        <f t="array" ref="EKJ3">_xlfn._xlws.FILTER(Rutas,_xlfn._xlws.FILTER($B$2:$B$10000,$B$2:$B$10000&lt;&gt;"")=VALUE(INDEX(IdClientes,MATCH(EKJ2,Clientes,0))))</f>
        <v>#VALUE!</v>
      </c>
      <c r="EKK3" s="28" t="e" cm="1" vm="1">
        <f t="array" ref="EKK3">_xlfn._xlws.FILTER(Rutas,_xlfn._xlws.FILTER($B$2:$B$10000,$B$2:$B$10000&lt;&gt;"")=VALUE(INDEX(IdClientes,MATCH(EKK2,Clientes,0))))</f>
        <v>#VALUE!</v>
      </c>
      <c r="EKL3" s="28" t="e" cm="1" vm="1">
        <f t="array" ref="EKL3">_xlfn._xlws.FILTER(Rutas,_xlfn._xlws.FILTER($B$2:$B$10000,$B$2:$B$10000&lt;&gt;"")=VALUE(INDEX(IdClientes,MATCH(EKL2,Clientes,0))))</f>
        <v>#VALUE!</v>
      </c>
      <c r="EKM3" s="28" t="e" cm="1" vm="1">
        <f t="array" ref="EKM3">_xlfn._xlws.FILTER(Rutas,_xlfn._xlws.FILTER($B$2:$B$10000,$B$2:$B$10000&lt;&gt;"")=VALUE(INDEX(IdClientes,MATCH(EKM2,Clientes,0))))</f>
        <v>#VALUE!</v>
      </c>
      <c r="EKN3" s="28" t="e" cm="1" vm="1">
        <f t="array" ref="EKN3">_xlfn._xlws.FILTER(Rutas,_xlfn._xlws.FILTER($B$2:$B$10000,$B$2:$B$10000&lt;&gt;"")=VALUE(INDEX(IdClientes,MATCH(EKN2,Clientes,0))))</f>
        <v>#VALUE!</v>
      </c>
      <c r="EKO3" s="28" t="e" cm="1" vm="1">
        <f t="array" ref="EKO3">_xlfn._xlws.FILTER(Rutas,_xlfn._xlws.FILTER($B$2:$B$10000,$B$2:$B$10000&lt;&gt;"")=VALUE(INDEX(IdClientes,MATCH(EKO2,Clientes,0))))</f>
        <v>#VALUE!</v>
      </c>
      <c r="EKP3" s="28" t="e" cm="1" vm="1">
        <f t="array" ref="EKP3">_xlfn._xlws.FILTER(Rutas,_xlfn._xlws.FILTER($B$2:$B$10000,$B$2:$B$10000&lt;&gt;"")=VALUE(INDEX(IdClientes,MATCH(EKP2,Clientes,0))))</f>
        <v>#VALUE!</v>
      </c>
      <c r="EKQ3" s="28" t="e" cm="1" vm="1">
        <f t="array" ref="EKQ3">_xlfn._xlws.FILTER(Rutas,_xlfn._xlws.FILTER($B$2:$B$10000,$B$2:$B$10000&lt;&gt;"")=VALUE(INDEX(IdClientes,MATCH(EKQ2,Clientes,0))))</f>
        <v>#VALUE!</v>
      </c>
      <c r="EKR3" s="28" t="e" cm="1" vm="1">
        <f t="array" ref="EKR3">_xlfn._xlws.FILTER(Rutas,_xlfn._xlws.FILTER($B$2:$B$10000,$B$2:$B$10000&lt;&gt;"")=VALUE(INDEX(IdClientes,MATCH(EKR2,Clientes,0))))</f>
        <v>#VALUE!</v>
      </c>
      <c r="EKS3" s="28" t="e" cm="1" vm="1">
        <f t="array" ref="EKS3">_xlfn._xlws.FILTER(Rutas,_xlfn._xlws.FILTER($B$2:$B$10000,$B$2:$B$10000&lt;&gt;"")=VALUE(INDEX(IdClientes,MATCH(EKS2,Clientes,0))))</f>
        <v>#VALUE!</v>
      </c>
      <c r="EKT3" s="28" t="e" cm="1" vm="1">
        <f t="array" ref="EKT3">_xlfn._xlws.FILTER(Rutas,_xlfn._xlws.FILTER($B$2:$B$10000,$B$2:$B$10000&lt;&gt;"")=VALUE(INDEX(IdClientes,MATCH(EKT2,Clientes,0))))</f>
        <v>#VALUE!</v>
      </c>
      <c r="EKU3" s="28" t="e" cm="1" vm="1">
        <f t="array" ref="EKU3">_xlfn._xlws.FILTER(Rutas,_xlfn._xlws.FILTER($B$2:$B$10000,$B$2:$B$10000&lt;&gt;"")=VALUE(INDEX(IdClientes,MATCH(EKU2,Clientes,0))))</f>
        <v>#VALUE!</v>
      </c>
      <c r="EKV3" s="28" t="e" cm="1" vm="1">
        <f t="array" ref="EKV3">_xlfn._xlws.FILTER(Rutas,_xlfn._xlws.FILTER($B$2:$B$10000,$B$2:$B$10000&lt;&gt;"")=VALUE(INDEX(IdClientes,MATCH(EKV2,Clientes,0))))</f>
        <v>#VALUE!</v>
      </c>
      <c r="EKW3" s="28" t="e" cm="1" vm="1">
        <f t="array" ref="EKW3">_xlfn._xlws.FILTER(Rutas,_xlfn._xlws.FILTER($B$2:$B$10000,$B$2:$B$10000&lt;&gt;"")=VALUE(INDEX(IdClientes,MATCH(EKW2,Clientes,0))))</f>
        <v>#VALUE!</v>
      </c>
      <c r="EKX3" s="28" t="e" cm="1" vm="1">
        <f t="array" ref="EKX3">_xlfn._xlws.FILTER(Rutas,_xlfn._xlws.FILTER($B$2:$B$10000,$B$2:$B$10000&lt;&gt;"")=VALUE(INDEX(IdClientes,MATCH(EKX2,Clientes,0))))</f>
        <v>#VALUE!</v>
      </c>
      <c r="EKY3" s="28" t="e" cm="1" vm="1">
        <f t="array" ref="EKY3">_xlfn._xlws.FILTER(Rutas,_xlfn._xlws.FILTER($B$2:$B$10000,$B$2:$B$10000&lt;&gt;"")=VALUE(INDEX(IdClientes,MATCH(EKY2,Clientes,0))))</f>
        <v>#VALUE!</v>
      </c>
      <c r="EKZ3" s="28" t="e" cm="1" vm="1">
        <f t="array" ref="EKZ3">_xlfn._xlws.FILTER(Rutas,_xlfn._xlws.FILTER($B$2:$B$10000,$B$2:$B$10000&lt;&gt;"")=VALUE(INDEX(IdClientes,MATCH(EKZ2,Clientes,0))))</f>
        <v>#VALUE!</v>
      </c>
      <c r="ELA3" s="28" t="e" cm="1" vm="1">
        <f t="array" ref="ELA3">_xlfn._xlws.FILTER(Rutas,_xlfn._xlws.FILTER($B$2:$B$10000,$B$2:$B$10000&lt;&gt;"")=VALUE(INDEX(IdClientes,MATCH(ELA2,Clientes,0))))</f>
        <v>#VALUE!</v>
      </c>
      <c r="ELB3" s="28" t="e" cm="1" vm="1">
        <f t="array" ref="ELB3">_xlfn._xlws.FILTER(Rutas,_xlfn._xlws.FILTER($B$2:$B$10000,$B$2:$B$10000&lt;&gt;"")=VALUE(INDEX(IdClientes,MATCH(ELB2,Clientes,0))))</f>
        <v>#VALUE!</v>
      </c>
      <c r="ELC3" s="28" t="e" cm="1" vm="1">
        <f t="array" ref="ELC3">_xlfn._xlws.FILTER(Rutas,_xlfn._xlws.FILTER($B$2:$B$10000,$B$2:$B$10000&lt;&gt;"")=VALUE(INDEX(IdClientes,MATCH(ELC2,Clientes,0))))</f>
        <v>#VALUE!</v>
      </c>
      <c r="ELD3" s="28" t="e" cm="1" vm="1">
        <f t="array" ref="ELD3">_xlfn._xlws.FILTER(Rutas,_xlfn._xlws.FILTER($B$2:$B$10000,$B$2:$B$10000&lt;&gt;"")=VALUE(INDEX(IdClientes,MATCH(ELD2,Clientes,0))))</f>
        <v>#VALUE!</v>
      </c>
      <c r="ELE3" s="28" t="e" cm="1" vm="1">
        <f t="array" ref="ELE3">_xlfn._xlws.FILTER(Rutas,_xlfn._xlws.FILTER($B$2:$B$10000,$B$2:$B$10000&lt;&gt;"")=VALUE(INDEX(IdClientes,MATCH(ELE2,Clientes,0))))</f>
        <v>#VALUE!</v>
      </c>
      <c r="ELF3" s="28" t="e" cm="1" vm="1">
        <f t="array" ref="ELF3">_xlfn._xlws.FILTER(Rutas,_xlfn._xlws.FILTER($B$2:$B$10000,$B$2:$B$10000&lt;&gt;"")=VALUE(INDEX(IdClientes,MATCH(ELF2,Clientes,0))))</f>
        <v>#VALUE!</v>
      </c>
      <c r="ELG3" s="28" t="e" cm="1" vm="1">
        <f t="array" ref="ELG3">_xlfn._xlws.FILTER(Rutas,_xlfn._xlws.FILTER($B$2:$B$10000,$B$2:$B$10000&lt;&gt;"")=VALUE(INDEX(IdClientes,MATCH(ELG2,Clientes,0))))</f>
        <v>#VALUE!</v>
      </c>
      <c r="ELH3" s="28" t="e" cm="1" vm="1">
        <f t="array" ref="ELH3">_xlfn._xlws.FILTER(Rutas,_xlfn._xlws.FILTER($B$2:$B$10000,$B$2:$B$10000&lt;&gt;"")=VALUE(INDEX(IdClientes,MATCH(ELH2,Clientes,0))))</f>
        <v>#VALUE!</v>
      </c>
      <c r="ELI3" s="28" t="e" cm="1" vm="1">
        <f t="array" ref="ELI3">_xlfn._xlws.FILTER(Rutas,_xlfn._xlws.FILTER($B$2:$B$10000,$B$2:$B$10000&lt;&gt;"")=VALUE(INDEX(IdClientes,MATCH(ELI2,Clientes,0))))</f>
        <v>#VALUE!</v>
      </c>
      <c r="ELJ3" s="28" t="e" cm="1" vm="1">
        <f t="array" ref="ELJ3">_xlfn._xlws.FILTER(Rutas,_xlfn._xlws.FILTER($B$2:$B$10000,$B$2:$B$10000&lt;&gt;"")=VALUE(INDEX(IdClientes,MATCH(ELJ2,Clientes,0))))</f>
        <v>#VALUE!</v>
      </c>
      <c r="ELK3" s="28" t="e" cm="1" vm="1">
        <f t="array" ref="ELK3">_xlfn._xlws.FILTER(Rutas,_xlfn._xlws.FILTER($B$2:$B$10000,$B$2:$B$10000&lt;&gt;"")=VALUE(INDEX(IdClientes,MATCH(ELK2,Clientes,0))))</f>
        <v>#VALUE!</v>
      </c>
      <c r="ELL3" s="28" t="e" cm="1" vm="1">
        <f t="array" ref="ELL3">_xlfn._xlws.FILTER(Rutas,_xlfn._xlws.FILTER($B$2:$B$10000,$B$2:$B$10000&lt;&gt;"")=VALUE(INDEX(IdClientes,MATCH(ELL2,Clientes,0))))</f>
        <v>#VALUE!</v>
      </c>
      <c r="ELM3" s="28" t="e" cm="1" vm="1">
        <f t="array" ref="ELM3">_xlfn._xlws.FILTER(Rutas,_xlfn._xlws.FILTER($B$2:$B$10000,$B$2:$B$10000&lt;&gt;"")=VALUE(INDEX(IdClientes,MATCH(ELM2,Clientes,0))))</f>
        <v>#VALUE!</v>
      </c>
      <c r="ELN3" s="28" t="e" cm="1" vm="1">
        <f t="array" ref="ELN3">_xlfn._xlws.FILTER(Rutas,_xlfn._xlws.FILTER($B$2:$B$10000,$B$2:$B$10000&lt;&gt;"")=VALUE(INDEX(IdClientes,MATCH(ELN2,Clientes,0))))</f>
        <v>#VALUE!</v>
      </c>
      <c r="ELO3" s="28" t="e" cm="1" vm="1">
        <f t="array" ref="ELO3">_xlfn._xlws.FILTER(Rutas,_xlfn._xlws.FILTER($B$2:$B$10000,$B$2:$B$10000&lt;&gt;"")=VALUE(INDEX(IdClientes,MATCH(ELO2,Clientes,0))))</f>
        <v>#VALUE!</v>
      </c>
      <c r="ELP3" s="28" t="e" cm="1" vm="1">
        <f t="array" ref="ELP3">_xlfn._xlws.FILTER(Rutas,_xlfn._xlws.FILTER($B$2:$B$10000,$B$2:$B$10000&lt;&gt;"")=VALUE(INDEX(IdClientes,MATCH(ELP2,Clientes,0))))</f>
        <v>#VALUE!</v>
      </c>
      <c r="ELQ3" s="28" t="e" cm="1" vm="1">
        <f t="array" ref="ELQ3">_xlfn._xlws.FILTER(Rutas,_xlfn._xlws.FILTER($B$2:$B$10000,$B$2:$B$10000&lt;&gt;"")=VALUE(INDEX(IdClientes,MATCH(ELQ2,Clientes,0))))</f>
        <v>#VALUE!</v>
      </c>
      <c r="ELR3" s="28" t="e" cm="1" vm="1">
        <f t="array" ref="ELR3">_xlfn._xlws.FILTER(Rutas,_xlfn._xlws.FILTER($B$2:$B$10000,$B$2:$B$10000&lt;&gt;"")=VALUE(INDEX(IdClientes,MATCH(ELR2,Clientes,0))))</f>
        <v>#VALUE!</v>
      </c>
      <c r="ELS3" s="28" t="e" cm="1" vm="1">
        <f t="array" ref="ELS3">_xlfn._xlws.FILTER(Rutas,_xlfn._xlws.FILTER($B$2:$B$10000,$B$2:$B$10000&lt;&gt;"")=VALUE(INDEX(IdClientes,MATCH(ELS2,Clientes,0))))</f>
        <v>#VALUE!</v>
      </c>
      <c r="ELT3" s="28" t="e" cm="1" vm="1">
        <f t="array" ref="ELT3">_xlfn._xlws.FILTER(Rutas,_xlfn._xlws.FILTER($B$2:$B$10000,$B$2:$B$10000&lt;&gt;"")=VALUE(INDEX(IdClientes,MATCH(ELT2,Clientes,0))))</f>
        <v>#VALUE!</v>
      </c>
      <c r="ELU3" s="28" t="e" cm="1" vm="1">
        <f t="array" ref="ELU3">_xlfn._xlws.FILTER(Rutas,_xlfn._xlws.FILTER($B$2:$B$10000,$B$2:$B$10000&lt;&gt;"")=VALUE(INDEX(IdClientes,MATCH(ELU2,Clientes,0))))</f>
        <v>#VALUE!</v>
      </c>
      <c r="ELV3" s="28" t="e" cm="1" vm="1">
        <f t="array" ref="ELV3">_xlfn._xlws.FILTER(Rutas,_xlfn._xlws.FILTER($B$2:$B$10000,$B$2:$B$10000&lt;&gt;"")=VALUE(INDEX(IdClientes,MATCH(ELV2,Clientes,0))))</f>
        <v>#VALUE!</v>
      </c>
      <c r="ELW3" s="28" t="e" cm="1" vm="1">
        <f t="array" ref="ELW3">_xlfn._xlws.FILTER(Rutas,_xlfn._xlws.FILTER($B$2:$B$10000,$B$2:$B$10000&lt;&gt;"")=VALUE(INDEX(IdClientes,MATCH(ELW2,Clientes,0))))</f>
        <v>#VALUE!</v>
      </c>
      <c r="ELX3" s="28" t="e" cm="1" vm="1">
        <f t="array" ref="ELX3">_xlfn._xlws.FILTER(Rutas,_xlfn._xlws.FILTER($B$2:$B$10000,$B$2:$B$10000&lt;&gt;"")=VALUE(INDEX(IdClientes,MATCH(ELX2,Clientes,0))))</f>
        <v>#VALUE!</v>
      </c>
      <c r="ELY3" s="28" t="e" cm="1" vm="1">
        <f t="array" ref="ELY3">_xlfn._xlws.FILTER(Rutas,_xlfn._xlws.FILTER($B$2:$B$10000,$B$2:$B$10000&lt;&gt;"")=VALUE(INDEX(IdClientes,MATCH(ELY2,Clientes,0))))</f>
        <v>#VALUE!</v>
      </c>
      <c r="ELZ3" s="28" t="e" cm="1" vm="1">
        <f t="array" ref="ELZ3">_xlfn._xlws.FILTER(Rutas,_xlfn._xlws.FILTER($B$2:$B$10000,$B$2:$B$10000&lt;&gt;"")=VALUE(INDEX(IdClientes,MATCH(ELZ2,Clientes,0))))</f>
        <v>#VALUE!</v>
      </c>
      <c r="EMA3" s="28" t="e" cm="1" vm="1">
        <f t="array" ref="EMA3">_xlfn._xlws.FILTER(Rutas,_xlfn._xlws.FILTER($B$2:$B$10000,$B$2:$B$10000&lt;&gt;"")=VALUE(INDEX(IdClientes,MATCH(EMA2,Clientes,0))))</f>
        <v>#VALUE!</v>
      </c>
      <c r="EMB3" s="28" t="e" cm="1" vm="1">
        <f t="array" ref="EMB3">_xlfn._xlws.FILTER(Rutas,_xlfn._xlws.FILTER($B$2:$B$10000,$B$2:$B$10000&lt;&gt;"")=VALUE(INDEX(IdClientes,MATCH(EMB2,Clientes,0))))</f>
        <v>#VALUE!</v>
      </c>
      <c r="EMC3" s="28" t="e" cm="1" vm="1">
        <f t="array" ref="EMC3">_xlfn._xlws.FILTER(Rutas,_xlfn._xlws.FILTER($B$2:$B$10000,$B$2:$B$10000&lt;&gt;"")=VALUE(INDEX(IdClientes,MATCH(EMC2,Clientes,0))))</f>
        <v>#VALUE!</v>
      </c>
      <c r="EMD3" s="28" t="e" cm="1" vm="1">
        <f t="array" ref="EMD3">_xlfn._xlws.FILTER(Rutas,_xlfn._xlws.FILTER($B$2:$B$10000,$B$2:$B$10000&lt;&gt;"")=VALUE(INDEX(IdClientes,MATCH(EMD2,Clientes,0))))</f>
        <v>#VALUE!</v>
      </c>
      <c r="EME3" s="28" t="e" cm="1" vm="1">
        <f t="array" ref="EME3">_xlfn._xlws.FILTER(Rutas,_xlfn._xlws.FILTER($B$2:$B$10000,$B$2:$B$10000&lt;&gt;"")=VALUE(INDEX(IdClientes,MATCH(EME2,Clientes,0))))</f>
        <v>#VALUE!</v>
      </c>
      <c r="EMF3" s="28" t="e" cm="1" vm="1">
        <f t="array" ref="EMF3">_xlfn._xlws.FILTER(Rutas,_xlfn._xlws.FILTER($B$2:$B$10000,$B$2:$B$10000&lt;&gt;"")=VALUE(INDEX(IdClientes,MATCH(EMF2,Clientes,0))))</f>
        <v>#VALUE!</v>
      </c>
      <c r="EMG3" s="28" t="e" cm="1" vm="1">
        <f t="array" ref="EMG3">_xlfn._xlws.FILTER(Rutas,_xlfn._xlws.FILTER($B$2:$B$10000,$B$2:$B$10000&lt;&gt;"")=VALUE(INDEX(IdClientes,MATCH(EMG2,Clientes,0))))</f>
        <v>#VALUE!</v>
      </c>
      <c r="EMH3" s="28" t="e" cm="1" vm="1">
        <f t="array" ref="EMH3">_xlfn._xlws.FILTER(Rutas,_xlfn._xlws.FILTER($B$2:$B$10000,$B$2:$B$10000&lt;&gt;"")=VALUE(INDEX(IdClientes,MATCH(EMH2,Clientes,0))))</f>
        <v>#VALUE!</v>
      </c>
      <c r="EMI3" s="28" t="e" cm="1" vm="1">
        <f t="array" ref="EMI3">_xlfn._xlws.FILTER(Rutas,_xlfn._xlws.FILTER($B$2:$B$10000,$B$2:$B$10000&lt;&gt;"")=VALUE(INDEX(IdClientes,MATCH(EMI2,Clientes,0))))</f>
        <v>#VALUE!</v>
      </c>
      <c r="EMJ3" s="28" t="e" cm="1" vm="1">
        <f t="array" ref="EMJ3">_xlfn._xlws.FILTER(Rutas,_xlfn._xlws.FILTER($B$2:$B$10000,$B$2:$B$10000&lt;&gt;"")=VALUE(INDEX(IdClientes,MATCH(EMJ2,Clientes,0))))</f>
        <v>#VALUE!</v>
      </c>
      <c r="EMK3" s="28" t="e" cm="1" vm="1">
        <f t="array" ref="EMK3">_xlfn._xlws.FILTER(Rutas,_xlfn._xlws.FILTER($B$2:$B$10000,$B$2:$B$10000&lt;&gt;"")=VALUE(INDEX(IdClientes,MATCH(EMK2,Clientes,0))))</f>
        <v>#VALUE!</v>
      </c>
      <c r="EML3" s="28" t="e" cm="1" vm="1">
        <f t="array" ref="EML3">_xlfn._xlws.FILTER(Rutas,_xlfn._xlws.FILTER($B$2:$B$10000,$B$2:$B$10000&lt;&gt;"")=VALUE(INDEX(IdClientes,MATCH(EML2,Clientes,0))))</f>
        <v>#VALUE!</v>
      </c>
      <c r="EMM3" s="28" t="e" cm="1" vm="1">
        <f t="array" ref="EMM3">_xlfn._xlws.FILTER(Rutas,_xlfn._xlws.FILTER($B$2:$B$10000,$B$2:$B$10000&lt;&gt;"")=VALUE(INDEX(IdClientes,MATCH(EMM2,Clientes,0))))</f>
        <v>#VALUE!</v>
      </c>
      <c r="EMN3" s="28" t="e" cm="1" vm="1">
        <f t="array" ref="EMN3">_xlfn._xlws.FILTER(Rutas,_xlfn._xlws.FILTER($B$2:$B$10000,$B$2:$B$10000&lt;&gt;"")=VALUE(INDEX(IdClientes,MATCH(EMN2,Clientes,0))))</f>
        <v>#VALUE!</v>
      </c>
      <c r="EMO3" s="28" t="e" cm="1" vm="1">
        <f t="array" ref="EMO3">_xlfn._xlws.FILTER(Rutas,_xlfn._xlws.FILTER($B$2:$B$10000,$B$2:$B$10000&lt;&gt;"")=VALUE(INDEX(IdClientes,MATCH(EMO2,Clientes,0))))</f>
        <v>#VALUE!</v>
      </c>
      <c r="EMP3" s="28" t="e" cm="1" vm="1">
        <f t="array" ref="EMP3">_xlfn._xlws.FILTER(Rutas,_xlfn._xlws.FILTER($B$2:$B$10000,$B$2:$B$10000&lt;&gt;"")=VALUE(INDEX(IdClientes,MATCH(EMP2,Clientes,0))))</f>
        <v>#VALUE!</v>
      </c>
      <c r="EMQ3" s="28" t="e" cm="1" vm="1">
        <f t="array" ref="EMQ3">_xlfn._xlws.FILTER(Rutas,_xlfn._xlws.FILTER($B$2:$B$10000,$B$2:$B$10000&lt;&gt;"")=VALUE(INDEX(IdClientes,MATCH(EMQ2,Clientes,0))))</f>
        <v>#VALUE!</v>
      </c>
      <c r="EMR3" s="28" t="e" cm="1" vm="1">
        <f t="array" ref="EMR3">_xlfn._xlws.FILTER(Rutas,_xlfn._xlws.FILTER($B$2:$B$10000,$B$2:$B$10000&lt;&gt;"")=VALUE(INDEX(IdClientes,MATCH(EMR2,Clientes,0))))</f>
        <v>#VALUE!</v>
      </c>
      <c r="EMS3" s="28" t="e" cm="1" vm="1">
        <f t="array" ref="EMS3">_xlfn._xlws.FILTER(Rutas,_xlfn._xlws.FILTER($B$2:$B$10000,$B$2:$B$10000&lt;&gt;"")=VALUE(INDEX(IdClientes,MATCH(EMS2,Clientes,0))))</f>
        <v>#VALUE!</v>
      </c>
      <c r="EMT3" s="28" t="e" cm="1" vm="1">
        <f t="array" ref="EMT3">_xlfn._xlws.FILTER(Rutas,_xlfn._xlws.FILTER($B$2:$B$10000,$B$2:$B$10000&lt;&gt;"")=VALUE(INDEX(IdClientes,MATCH(EMT2,Clientes,0))))</f>
        <v>#VALUE!</v>
      </c>
      <c r="EMU3" s="28" t="e" cm="1" vm="1">
        <f t="array" ref="EMU3">_xlfn._xlws.FILTER(Rutas,_xlfn._xlws.FILTER($B$2:$B$10000,$B$2:$B$10000&lt;&gt;"")=VALUE(INDEX(IdClientes,MATCH(EMU2,Clientes,0))))</f>
        <v>#VALUE!</v>
      </c>
      <c r="EMV3" s="28" t="e" cm="1" vm="1">
        <f t="array" ref="EMV3">_xlfn._xlws.FILTER(Rutas,_xlfn._xlws.FILTER($B$2:$B$10000,$B$2:$B$10000&lt;&gt;"")=VALUE(INDEX(IdClientes,MATCH(EMV2,Clientes,0))))</f>
        <v>#VALUE!</v>
      </c>
      <c r="EMW3" s="28" t="e" cm="1" vm="1">
        <f t="array" ref="EMW3">_xlfn._xlws.FILTER(Rutas,_xlfn._xlws.FILTER($B$2:$B$10000,$B$2:$B$10000&lt;&gt;"")=VALUE(INDEX(IdClientes,MATCH(EMW2,Clientes,0))))</f>
        <v>#VALUE!</v>
      </c>
      <c r="EMX3" s="28" t="e" cm="1" vm="1">
        <f t="array" ref="EMX3">_xlfn._xlws.FILTER(Rutas,_xlfn._xlws.FILTER($B$2:$B$10000,$B$2:$B$10000&lt;&gt;"")=VALUE(INDEX(IdClientes,MATCH(EMX2,Clientes,0))))</f>
        <v>#VALUE!</v>
      </c>
      <c r="EMY3" s="28" t="e" cm="1" vm="1">
        <f t="array" ref="EMY3">_xlfn._xlws.FILTER(Rutas,_xlfn._xlws.FILTER($B$2:$B$10000,$B$2:$B$10000&lt;&gt;"")=VALUE(INDEX(IdClientes,MATCH(EMY2,Clientes,0))))</f>
        <v>#VALUE!</v>
      </c>
      <c r="EMZ3" s="28" t="e" cm="1" vm="1">
        <f t="array" ref="EMZ3">_xlfn._xlws.FILTER(Rutas,_xlfn._xlws.FILTER($B$2:$B$10000,$B$2:$B$10000&lt;&gt;"")=VALUE(INDEX(IdClientes,MATCH(EMZ2,Clientes,0))))</f>
        <v>#VALUE!</v>
      </c>
      <c r="ENA3" s="28" t="e" cm="1" vm="1">
        <f t="array" ref="ENA3">_xlfn._xlws.FILTER(Rutas,_xlfn._xlws.FILTER($B$2:$B$10000,$B$2:$B$10000&lt;&gt;"")=VALUE(INDEX(IdClientes,MATCH(ENA2,Clientes,0))))</f>
        <v>#VALUE!</v>
      </c>
      <c r="ENB3" s="28" t="e" cm="1" vm="1">
        <f t="array" ref="ENB3">_xlfn._xlws.FILTER(Rutas,_xlfn._xlws.FILTER($B$2:$B$10000,$B$2:$B$10000&lt;&gt;"")=VALUE(INDEX(IdClientes,MATCH(ENB2,Clientes,0))))</f>
        <v>#VALUE!</v>
      </c>
      <c r="ENC3" s="28" t="e" cm="1" vm="1">
        <f t="array" ref="ENC3">_xlfn._xlws.FILTER(Rutas,_xlfn._xlws.FILTER($B$2:$B$10000,$B$2:$B$10000&lt;&gt;"")=VALUE(INDEX(IdClientes,MATCH(ENC2,Clientes,0))))</f>
        <v>#VALUE!</v>
      </c>
      <c r="END3" s="28" t="e" cm="1" vm="1">
        <f t="array" ref="END3">_xlfn._xlws.FILTER(Rutas,_xlfn._xlws.FILTER($B$2:$B$10000,$B$2:$B$10000&lt;&gt;"")=VALUE(INDEX(IdClientes,MATCH(END2,Clientes,0))))</f>
        <v>#VALUE!</v>
      </c>
      <c r="ENE3" s="28" t="e" cm="1" vm="1">
        <f t="array" ref="ENE3">_xlfn._xlws.FILTER(Rutas,_xlfn._xlws.FILTER($B$2:$B$10000,$B$2:$B$10000&lt;&gt;"")=VALUE(INDEX(IdClientes,MATCH(ENE2,Clientes,0))))</f>
        <v>#VALUE!</v>
      </c>
      <c r="ENF3" s="28" t="e" cm="1" vm="1">
        <f t="array" ref="ENF3">_xlfn._xlws.FILTER(Rutas,_xlfn._xlws.FILTER($B$2:$B$10000,$B$2:$B$10000&lt;&gt;"")=VALUE(INDEX(IdClientes,MATCH(ENF2,Clientes,0))))</f>
        <v>#VALUE!</v>
      </c>
      <c r="ENG3" s="28" t="e" cm="1" vm="1">
        <f t="array" ref="ENG3">_xlfn._xlws.FILTER(Rutas,_xlfn._xlws.FILTER($B$2:$B$10000,$B$2:$B$10000&lt;&gt;"")=VALUE(INDEX(IdClientes,MATCH(ENG2,Clientes,0))))</f>
        <v>#VALUE!</v>
      </c>
      <c r="ENH3" s="28" t="e" cm="1" vm="1">
        <f t="array" ref="ENH3">_xlfn._xlws.FILTER(Rutas,_xlfn._xlws.FILTER($B$2:$B$10000,$B$2:$B$10000&lt;&gt;"")=VALUE(INDEX(IdClientes,MATCH(ENH2,Clientes,0))))</f>
        <v>#VALUE!</v>
      </c>
      <c r="ENI3" s="28" t="e" cm="1" vm="1">
        <f t="array" ref="ENI3">_xlfn._xlws.FILTER(Rutas,_xlfn._xlws.FILTER($B$2:$B$10000,$B$2:$B$10000&lt;&gt;"")=VALUE(INDEX(IdClientes,MATCH(ENI2,Clientes,0))))</f>
        <v>#VALUE!</v>
      </c>
      <c r="ENJ3" s="28" t="e" cm="1" vm="1">
        <f t="array" ref="ENJ3">_xlfn._xlws.FILTER(Rutas,_xlfn._xlws.FILTER($B$2:$B$10000,$B$2:$B$10000&lt;&gt;"")=VALUE(INDEX(IdClientes,MATCH(ENJ2,Clientes,0))))</f>
        <v>#VALUE!</v>
      </c>
      <c r="ENK3" s="28" t="e" cm="1" vm="1">
        <f t="array" ref="ENK3">_xlfn._xlws.FILTER(Rutas,_xlfn._xlws.FILTER($B$2:$B$10000,$B$2:$B$10000&lt;&gt;"")=VALUE(INDEX(IdClientes,MATCH(ENK2,Clientes,0))))</f>
        <v>#VALUE!</v>
      </c>
      <c r="ENL3" s="28" t="e" cm="1" vm="1">
        <f t="array" ref="ENL3">_xlfn._xlws.FILTER(Rutas,_xlfn._xlws.FILTER($B$2:$B$10000,$B$2:$B$10000&lt;&gt;"")=VALUE(INDEX(IdClientes,MATCH(ENL2,Clientes,0))))</f>
        <v>#VALUE!</v>
      </c>
      <c r="ENM3" s="28" t="e" cm="1" vm="1">
        <f t="array" ref="ENM3">_xlfn._xlws.FILTER(Rutas,_xlfn._xlws.FILTER($B$2:$B$10000,$B$2:$B$10000&lt;&gt;"")=VALUE(INDEX(IdClientes,MATCH(ENM2,Clientes,0))))</f>
        <v>#VALUE!</v>
      </c>
      <c r="ENN3" s="28" t="e" cm="1" vm="1">
        <f t="array" ref="ENN3">_xlfn._xlws.FILTER(Rutas,_xlfn._xlws.FILTER($B$2:$B$10000,$B$2:$B$10000&lt;&gt;"")=VALUE(INDEX(IdClientes,MATCH(ENN2,Clientes,0))))</f>
        <v>#VALUE!</v>
      </c>
      <c r="ENO3" s="28" t="e" cm="1" vm="1">
        <f t="array" ref="ENO3">_xlfn._xlws.FILTER(Rutas,_xlfn._xlws.FILTER($B$2:$B$10000,$B$2:$B$10000&lt;&gt;"")=VALUE(INDEX(IdClientes,MATCH(ENO2,Clientes,0))))</f>
        <v>#VALUE!</v>
      </c>
      <c r="ENP3" s="28" t="e" cm="1" vm="1">
        <f t="array" ref="ENP3">_xlfn._xlws.FILTER(Rutas,_xlfn._xlws.FILTER($B$2:$B$10000,$B$2:$B$10000&lt;&gt;"")=VALUE(INDEX(IdClientes,MATCH(ENP2,Clientes,0))))</f>
        <v>#VALUE!</v>
      </c>
      <c r="ENQ3" s="28" t="e" cm="1" vm="1">
        <f t="array" ref="ENQ3">_xlfn._xlws.FILTER(Rutas,_xlfn._xlws.FILTER($B$2:$B$10000,$B$2:$B$10000&lt;&gt;"")=VALUE(INDEX(IdClientes,MATCH(ENQ2,Clientes,0))))</f>
        <v>#VALUE!</v>
      </c>
      <c r="ENR3" s="28" t="e" cm="1" vm="1">
        <f t="array" ref="ENR3">_xlfn._xlws.FILTER(Rutas,_xlfn._xlws.FILTER($B$2:$B$10000,$B$2:$B$10000&lt;&gt;"")=VALUE(INDEX(IdClientes,MATCH(ENR2,Clientes,0))))</f>
        <v>#VALUE!</v>
      </c>
      <c r="ENS3" s="28" t="e" cm="1" vm="1">
        <f t="array" ref="ENS3">_xlfn._xlws.FILTER(Rutas,_xlfn._xlws.FILTER($B$2:$B$10000,$B$2:$B$10000&lt;&gt;"")=VALUE(INDEX(IdClientes,MATCH(ENS2,Clientes,0))))</f>
        <v>#VALUE!</v>
      </c>
      <c r="ENT3" s="28" t="e" cm="1" vm="1">
        <f t="array" ref="ENT3">_xlfn._xlws.FILTER(Rutas,_xlfn._xlws.FILTER($B$2:$B$10000,$B$2:$B$10000&lt;&gt;"")=VALUE(INDEX(IdClientes,MATCH(ENT2,Clientes,0))))</f>
        <v>#VALUE!</v>
      </c>
      <c r="ENU3" s="28" t="e" cm="1" vm="1">
        <f t="array" ref="ENU3">_xlfn._xlws.FILTER(Rutas,_xlfn._xlws.FILTER($B$2:$B$10000,$B$2:$B$10000&lt;&gt;"")=VALUE(INDEX(IdClientes,MATCH(ENU2,Clientes,0))))</f>
        <v>#VALUE!</v>
      </c>
      <c r="ENV3" s="28" t="e" cm="1" vm="1">
        <f t="array" ref="ENV3">_xlfn._xlws.FILTER(Rutas,_xlfn._xlws.FILTER($B$2:$B$10000,$B$2:$B$10000&lt;&gt;"")=VALUE(INDEX(IdClientes,MATCH(ENV2,Clientes,0))))</f>
        <v>#VALUE!</v>
      </c>
      <c r="ENW3" s="28" t="e" cm="1" vm="1">
        <f t="array" ref="ENW3">_xlfn._xlws.FILTER(Rutas,_xlfn._xlws.FILTER($B$2:$B$10000,$B$2:$B$10000&lt;&gt;"")=VALUE(INDEX(IdClientes,MATCH(ENW2,Clientes,0))))</f>
        <v>#VALUE!</v>
      </c>
      <c r="ENX3" s="28" t="e" cm="1" vm="1">
        <f t="array" ref="ENX3">_xlfn._xlws.FILTER(Rutas,_xlfn._xlws.FILTER($B$2:$B$10000,$B$2:$B$10000&lt;&gt;"")=VALUE(INDEX(IdClientes,MATCH(ENX2,Clientes,0))))</f>
        <v>#VALUE!</v>
      </c>
      <c r="ENY3" s="28" t="e" cm="1" vm="1">
        <f t="array" ref="ENY3">_xlfn._xlws.FILTER(Rutas,_xlfn._xlws.FILTER($B$2:$B$10000,$B$2:$B$10000&lt;&gt;"")=VALUE(INDEX(IdClientes,MATCH(ENY2,Clientes,0))))</f>
        <v>#VALUE!</v>
      </c>
      <c r="ENZ3" s="28" t="e" cm="1" vm="1">
        <f t="array" ref="ENZ3">_xlfn._xlws.FILTER(Rutas,_xlfn._xlws.FILTER($B$2:$B$10000,$B$2:$B$10000&lt;&gt;"")=VALUE(INDEX(IdClientes,MATCH(ENZ2,Clientes,0))))</f>
        <v>#VALUE!</v>
      </c>
      <c r="EOA3" s="28" t="e" cm="1" vm="1">
        <f t="array" ref="EOA3">_xlfn._xlws.FILTER(Rutas,_xlfn._xlws.FILTER($B$2:$B$10000,$B$2:$B$10000&lt;&gt;"")=VALUE(INDEX(IdClientes,MATCH(EOA2,Clientes,0))))</f>
        <v>#VALUE!</v>
      </c>
      <c r="EOB3" s="28" t="e" cm="1" vm="1">
        <f t="array" ref="EOB3">_xlfn._xlws.FILTER(Rutas,_xlfn._xlws.FILTER($B$2:$B$10000,$B$2:$B$10000&lt;&gt;"")=VALUE(INDEX(IdClientes,MATCH(EOB2,Clientes,0))))</f>
        <v>#VALUE!</v>
      </c>
      <c r="EOC3" s="28" t="e" cm="1" vm="1">
        <f t="array" ref="EOC3">_xlfn._xlws.FILTER(Rutas,_xlfn._xlws.FILTER($B$2:$B$10000,$B$2:$B$10000&lt;&gt;"")=VALUE(INDEX(IdClientes,MATCH(EOC2,Clientes,0))))</f>
        <v>#VALUE!</v>
      </c>
      <c r="EOD3" s="28" t="e" cm="1" vm="1">
        <f t="array" ref="EOD3">_xlfn._xlws.FILTER(Rutas,_xlfn._xlws.FILTER($B$2:$B$10000,$B$2:$B$10000&lt;&gt;"")=VALUE(INDEX(IdClientes,MATCH(EOD2,Clientes,0))))</f>
        <v>#VALUE!</v>
      </c>
      <c r="EOE3" s="28" t="e" cm="1" vm="1">
        <f t="array" ref="EOE3">_xlfn._xlws.FILTER(Rutas,_xlfn._xlws.FILTER($B$2:$B$10000,$B$2:$B$10000&lt;&gt;"")=VALUE(INDEX(IdClientes,MATCH(EOE2,Clientes,0))))</f>
        <v>#VALUE!</v>
      </c>
      <c r="EOF3" s="28" t="e" cm="1" vm="1">
        <f t="array" ref="EOF3">_xlfn._xlws.FILTER(Rutas,_xlfn._xlws.FILTER($B$2:$B$10000,$B$2:$B$10000&lt;&gt;"")=VALUE(INDEX(IdClientes,MATCH(EOF2,Clientes,0))))</f>
        <v>#VALUE!</v>
      </c>
      <c r="EOG3" s="28" t="e" cm="1" vm="1">
        <f t="array" ref="EOG3">_xlfn._xlws.FILTER(Rutas,_xlfn._xlws.FILTER($B$2:$B$10000,$B$2:$B$10000&lt;&gt;"")=VALUE(INDEX(IdClientes,MATCH(EOG2,Clientes,0))))</f>
        <v>#VALUE!</v>
      </c>
      <c r="EOH3" s="28" t="e" cm="1" vm="1">
        <f t="array" ref="EOH3">_xlfn._xlws.FILTER(Rutas,_xlfn._xlws.FILTER($B$2:$B$10000,$B$2:$B$10000&lt;&gt;"")=VALUE(INDEX(IdClientes,MATCH(EOH2,Clientes,0))))</f>
        <v>#VALUE!</v>
      </c>
      <c r="EOI3" s="28" t="e" cm="1" vm="1">
        <f t="array" ref="EOI3">_xlfn._xlws.FILTER(Rutas,_xlfn._xlws.FILTER($B$2:$B$10000,$B$2:$B$10000&lt;&gt;"")=VALUE(INDEX(IdClientes,MATCH(EOI2,Clientes,0))))</f>
        <v>#VALUE!</v>
      </c>
      <c r="EOJ3" s="28" t="e" cm="1" vm="1">
        <f t="array" ref="EOJ3">_xlfn._xlws.FILTER(Rutas,_xlfn._xlws.FILTER($B$2:$B$10000,$B$2:$B$10000&lt;&gt;"")=VALUE(INDEX(IdClientes,MATCH(EOJ2,Clientes,0))))</f>
        <v>#VALUE!</v>
      </c>
      <c r="EOK3" s="28" t="e" cm="1" vm="1">
        <f t="array" ref="EOK3">_xlfn._xlws.FILTER(Rutas,_xlfn._xlws.FILTER($B$2:$B$10000,$B$2:$B$10000&lt;&gt;"")=VALUE(INDEX(IdClientes,MATCH(EOK2,Clientes,0))))</f>
        <v>#VALUE!</v>
      </c>
      <c r="EOL3" s="28" t="e" cm="1" vm="1">
        <f t="array" ref="EOL3">_xlfn._xlws.FILTER(Rutas,_xlfn._xlws.FILTER($B$2:$B$10000,$B$2:$B$10000&lt;&gt;"")=VALUE(INDEX(IdClientes,MATCH(EOL2,Clientes,0))))</f>
        <v>#VALUE!</v>
      </c>
      <c r="EOM3" s="28" t="e" cm="1" vm="1">
        <f t="array" ref="EOM3">_xlfn._xlws.FILTER(Rutas,_xlfn._xlws.FILTER($B$2:$B$10000,$B$2:$B$10000&lt;&gt;"")=VALUE(INDEX(IdClientes,MATCH(EOM2,Clientes,0))))</f>
        <v>#VALUE!</v>
      </c>
      <c r="EON3" s="28" t="e" cm="1" vm="1">
        <f t="array" ref="EON3">_xlfn._xlws.FILTER(Rutas,_xlfn._xlws.FILTER($B$2:$B$10000,$B$2:$B$10000&lt;&gt;"")=VALUE(INDEX(IdClientes,MATCH(EON2,Clientes,0))))</f>
        <v>#VALUE!</v>
      </c>
      <c r="EOO3" s="28" t="e" cm="1" vm="1">
        <f t="array" ref="EOO3">_xlfn._xlws.FILTER(Rutas,_xlfn._xlws.FILTER($B$2:$B$10000,$B$2:$B$10000&lt;&gt;"")=VALUE(INDEX(IdClientes,MATCH(EOO2,Clientes,0))))</f>
        <v>#VALUE!</v>
      </c>
      <c r="EOP3" s="28" t="e" cm="1" vm="1">
        <f t="array" ref="EOP3">_xlfn._xlws.FILTER(Rutas,_xlfn._xlws.FILTER($B$2:$B$10000,$B$2:$B$10000&lt;&gt;"")=VALUE(INDEX(IdClientes,MATCH(EOP2,Clientes,0))))</f>
        <v>#VALUE!</v>
      </c>
      <c r="EOQ3" s="28" t="e" cm="1" vm="1">
        <f t="array" ref="EOQ3">_xlfn._xlws.FILTER(Rutas,_xlfn._xlws.FILTER($B$2:$B$10000,$B$2:$B$10000&lt;&gt;"")=VALUE(INDEX(IdClientes,MATCH(EOQ2,Clientes,0))))</f>
        <v>#VALUE!</v>
      </c>
      <c r="EOR3" s="28" t="e" cm="1" vm="1">
        <f t="array" ref="EOR3">_xlfn._xlws.FILTER(Rutas,_xlfn._xlws.FILTER($B$2:$B$10000,$B$2:$B$10000&lt;&gt;"")=VALUE(INDEX(IdClientes,MATCH(EOR2,Clientes,0))))</f>
        <v>#VALUE!</v>
      </c>
      <c r="EOS3" s="28" t="e" cm="1" vm="1">
        <f t="array" ref="EOS3">_xlfn._xlws.FILTER(Rutas,_xlfn._xlws.FILTER($B$2:$B$10000,$B$2:$B$10000&lt;&gt;"")=VALUE(INDEX(IdClientes,MATCH(EOS2,Clientes,0))))</f>
        <v>#VALUE!</v>
      </c>
      <c r="EOT3" s="28" t="e" cm="1" vm="1">
        <f t="array" ref="EOT3">_xlfn._xlws.FILTER(Rutas,_xlfn._xlws.FILTER($B$2:$B$10000,$B$2:$B$10000&lt;&gt;"")=VALUE(INDEX(IdClientes,MATCH(EOT2,Clientes,0))))</f>
        <v>#VALUE!</v>
      </c>
      <c r="EOU3" s="28" t="e" cm="1" vm="1">
        <f t="array" ref="EOU3">_xlfn._xlws.FILTER(Rutas,_xlfn._xlws.FILTER($B$2:$B$10000,$B$2:$B$10000&lt;&gt;"")=VALUE(INDEX(IdClientes,MATCH(EOU2,Clientes,0))))</f>
        <v>#VALUE!</v>
      </c>
      <c r="EOV3" s="28" t="e" cm="1" vm="1">
        <f t="array" ref="EOV3">_xlfn._xlws.FILTER(Rutas,_xlfn._xlws.FILTER($B$2:$B$10000,$B$2:$B$10000&lt;&gt;"")=VALUE(INDEX(IdClientes,MATCH(EOV2,Clientes,0))))</f>
        <v>#VALUE!</v>
      </c>
      <c r="EOW3" s="28" t="e" cm="1" vm="1">
        <f t="array" ref="EOW3">_xlfn._xlws.FILTER(Rutas,_xlfn._xlws.FILTER($B$2:$B$10000,$B$2:$B$10000&lt;&gt;"")=VALUE(INDEX(IdClientes,MATCH(EOW2,Clientes,0))))</f>
        <v>#VALUE!</v>
      </c>
      <c r="EOX3" s="28" t="e" cm="1" vm="1">
        <f t="array" ref="EOX3">_xlfn._xlws.FILTER(Rutas,_xlfn._xlws.FILTER($B$2:$B$10000,$B$2:$B$10000&lt;&gt;"")=VALUE(INDEX(IdClientes,MATCH(EOX2,Clientes,0))))</f>
        <v>#VALUE!</v>
      </c>
      <c r="EOY3" s="28" t="e" cm="1" vm="1">
        <f t="array" ref="EOY3">_xlfn._xlws.FILTER(Rutas,_xlfn._xlws.FILTER($B$2:$B$10000,$B$2:$B$10000&lt;&gt;"")=VALUE(INDEX(IdClientes,MATCH(EOY2,Clientes,0))))</f>
        <v>#VALUE!</v>
      </c>
      <c r="EOZ3" s="28" t="e" cm="1" vm="1">
        <f t="array" ref="EOZ3">_xlfn._xlws.FILTER(Rutas,_xlfn._xlws.FILTER($B$2:$B$10000,$B$2:$B$10000&lt;&gt;"")=VALUE(INDEX(IdClientes,MATCH(EOZ2,Clientes,0))))</f>
        <v>#VALUE!</v>
      </c>
      <c r="EPA3" s="28" t="e" cm="1" vm="1">
        <f t="array" ref="EPA3">_xlfn._xlws.FILTER(Rutas,_xlfn._xlws.FILTER($B$2:$B$10000,$B$2:$B$10000&lt;&gt;"")=VALUE(INDEX(IdClientes,MATCH(EPA2,Clientes,0))))</f>
        <v>#VALUE!</v>
      </c>
      <c r="EPB3" s="28" t="e" cm="1" vm="1">
        <f t="array" ref="EPB3">_xlfn._xlws.FILTER(Rutas,_xlfn._xlws.FILTER($B$2:$B$10000,$B$2:$B$10000&lt;&gt;"")=VALUE(INDEX(IdClientes,MATCH(EPB2,Clientes,0))))</f>
        <v>#VALUE!</v>
      </c>
      <c r="EPC3" s="28" t="e" cm="1" vm="1">
        <f t="array" ref="EPC3">_xlfn._xlws.FILTER(Rutas,_xlfn._xlws.FILTER($B$2:$B$10000,$B$2:$B$10000&lt;&gt;"")=VALUE(INDEX(IdClientes,MATCH(EPC2,Clientes,0))))</f>
        <v>#VALUE!</v>
      </c>
      <c r="EPD3" s="28" t="e" cm="1" vm="1">
        <f t="array" ref="EPD3">_xlfn._xlws.FILTER(Rutas,_xlfn._xlws.FILTER($B$2:$B$10000,$B$2:$B$10000&lt;&gt;"")=VALUE(INDEX(IdClientes,MATCH(EPD2,Clientes,0))))</f>
        <v>#VALUE!</v>
      </c>
      <c r="EPE3" s="28" t="e" cm="1" vm="1">
        <f t="array" ref="EPE3">_xlfn._xlws.FILTER(Rutas,_xlfn._xlws.FILTER($B$2:$B$10000,$B$2:$B$10000&lt;&gt;"")=VALUE(INDEX(IdClientes,MATCH(EPE2,Clientes,0))))</f>
        <v>#VALUE!</v>
      </c>
      <c r="EPF3" s="28" t="e" cm="1" vm="1">
        <f t="array" ref="EPF3">_xlfn._xlws.FILTER(Rutas,_xlfn._xlws.FILTER($B$2:$B$10000,$B$2:$B$10000&lt;&gt;"")=VALUE(INDEX(IdClientes,MATCH(EPF2,Clientes,0))))</f>
        <v>#VALUE!</v>
      </c>
      <c r="EPG3" s="28" t="e" cm="1" vm="1">
        <f t="array" ref="EPG3">_xlfn._xlws.FILTER(Rutas,_xlfn._xlws.FILTER($B$2:$B$10000,$B$2:$B$10000&lt;&gt;"")=VALUE(INDEX(IdClientes,MATCH(EPG2,Clientes,0))))</f>
        <v>#VALUE!</v>
      </c>
      <c r="EPH3" s="28" t="e" cm="1" vm="1">
        <f t="array" ref="EPH3">_xlfn._xlws.FILTER(Rutas,_xlfn._xlws.FILTER($B$2:$B$10000,$B$2:$B$10000&lt;&gt;"")=VALUE(INDEX(IdClientes,MATCH(EPH2,Clientes,0))))</f>
        <v>#VALUE!</v>
      </c>
      <c r="EPI3" s="28" t="e" cm="1" vm="1">
        <f t="array" ref="EPI3">_xlfn._xlws.FILTER(Rutas,_xlfn._xlws.FILTER($B$2:$B$10000,$B$2:$B$10000&lt;&gt;"")=VALUE(INDEX(IdClientes,MATCH(EPI2,Clientes,0))))</f>
        <v>#VALUE!</v>
      </c>
      <c r="EPJ3" s="28" t="e" cm="1" vm="1">
        <f t="array" ref="EPJ3">_xlfn._xlws.FILTER(Rutas,_xlfn._xlws.FILTER($B$2:$B$10000,$B$2:$B$10000&lt;&gt;"")=VALUE(INDEX(IdClientes,MATCH(EPJ2,Clientes,0))))</f>
        <v>#VALUE!</v>
      </c>
      <c r="EPK3" s="28" t="e" cm="1" vm="1">
        <f t="array" ref="EPK3">_xlfn._xlws.FILTER(Rutas,_xlfn._xlws.FILTER($B$2:$B$10000,$B$2:$B$10000&lt;&gt;"")=VALUE(INDEX(IdClientes,MATCH(EPK2,Clientes,0))))</f>
        <v>#VALUE!</v>
      </c>
      <c r="EPL3" s="28" t="e" cm="1" vm="1">
        <f t="array" ref="EPL3">_xlfn._xlws.FILTER(Rutas,_xlfn._xlws.FILTER($B$2:$B$10000,$B$2:$B$10000&lt;&gt;"")=VALUE(INDEX(IdClientes,MATCH(EPL2,Clientes,0))))</f>
        <v>#VALUE!</v>
      </c>
      <c r="EPM3" s="28" t="e" cm="1" vm="1">
        <f t="array" ref="EPM3">_xlfn._xlws.FILTER(Rutas,_xlfn._xlws.FILTER($B$2:$B$10000,$B$2:$B$10000&lt;&gt;"")=VALUE(INDEX(IdClientes,MATCH(EPM2,Clientes,0))))</f>
        <v>#VALUE!</v>
      </c>
      <c r="EPN3" s="28" t="e" cm="1" vm="1">
        <f t="array" ref="EPN3">_xlfn._xlws.FILTER(Rutas,_xlfn._xlws.FILTER($B$2:$B$10000,$B$2:$B$10000&lt;&gt;"")=VALUE(INDEX(IdClientes,MATCH(EPN2,Clientes,0))))</f>
        <v>#VALUE!</v>
      </c>
      <c r="EPO3" s="28" t="e" cm="1" vm="1">
        <f t="array" ref="EPO3">_xlfn._xlws.FILTER(Rutas,_xlfn._xlws.FILTER($B$2:$B$10000,$B$2:$B$10000&lt;&gt;"")=VALUE(INDEX(IdClientes,MATCH(EPO2,Clientes,0))))</f>
        <v>#VALUE!</v>
      </c>
      <c r="EPP3" s="28" t="e" cm="1" vm="1">
        <f t="array" ref="EPP3">_xlfn._xlws.FILTER(Rutas,_xlfn._xlws.FILTER($B$2:$B$10000,$B$2:$B$10000&lt;&gt;"")=VALUE(INDEX(IdClientes,MATCH(EPP2,Clientes,0))))</f>
        <v>#VALUE!</v>
      </c>
      <c r="EPQ3" s="28" t="e" cm="1" vm="1">
        <f t="array" ref="EPQ3">_xlfn._xlws.FILTER(Rutas,_xlfn._xlws.FILTER($B$2:$B$10000,$B$2:$B$10000&lt;&gt;"")=VALUE(INDEX(IdClientes,MATCH(EPQ2,Clientes,0))))</f>
        <v>#VALUE!</v>
      </c>
      <c r="EPR3" s="28" t="e" cm="1" vm="1">
        <f t="array" ref="EPR3">_xlfn._xlws.FILTER(Rutas,_xlfn._xlws.FILTER($B$2:$B$10000,$B$2:$B$10000&lt;&gt;"")=VALUE(INDEX(IdClientes,MATCH(EPR2,Clientes,0))))</f>
        <v>#VALUE!</v>
      </c>
      <c r="EPS3" s="28" t="e" cm="1" vm="1">
        <f t="array" ref="EPS3">_xlfn._xlws.FILTER(Rutas,_xlfn._xlws.FILTER($B$2:$B$10000,$B$2:$B$10000&lt;&gt;"")=VALUE(INDEX(IdClientes,MATCH(EPS2,Clientes,0))))</f>
        <v>#VALUE!</v>
      </c>
      <c r="EPT3" s="28" t="e" cm="1" vm="1">
        <f t="array" ref="EPT3">_xlfn._xlws.FILTER(Rutas,_xlfn._xlws.FILTER($B$2:$B$10000,$B$2:$B$10000&lt;&gt;"")=VALUE(INDEX(IdClientes,MATCH(EPT2,Clientes,0))))</f>
        <v>#VALUE!</v>
      </c>
      <c r="EPU3" s="28" t="e" cm="1" vm="1">
        <f t="array" ref="EPU3">_xlfn._xlws.FILTER(Rutas,_xlfn._xlws.FILTER($B$2:$B$10000,$B$2:$B$10000&lt;&gt;"")=VALUE(INDEX(IdClientes,MATCH(EPU2,Clientes,0))))</f>
        <v>#VALUE!</v>
      </c>
      <c r="EPV3" s="28" t="e" cm="1" vm="1">
        <f t="array" ref="EPV3">_xlfn._xlws.FILTER(Rutas,_xlfn._xlws.FILTER($B$2:$B$10000,$B$2:$B$10000&lt;&gt;"")=VALUE(INDEX(IdClientes,MATCH(EPV2,Clientes,0))))</f>
        <v>#VALUE!</v>
      </c>
      <c r="EPW3" s="28" t="e" cm="1" vm="1">
        <f t="array" ref="EPW3">_xlfn._xlws.FILTER(Rutas,_xlfn._xlws.FILTER($B$2:$B$10000,$B$2:$B$10000&lt;&gt;"")=VALUE(INDEX(IdClientes,MATCH(EPW2,Clientes,0))))</f>
        <v>#VALUE!</v>
      </c>
      <c r="EPX3" s="28" t="e" cm="1" vm="1">
        <f t="array" ref="EPX3">_xlfn._xlws.FILTER(Rutas,_xlfn._xlws.FILTER($B$2:$B$10000,$B$2:$B$10000&lt;&gt;"")=VALUE(INDEX(IdClientes,MATCH(EPX2,Clientes,0))))</f>
        <v>#VALUE!</v>
      </c>
      <c r="EPY3" s="28" t="e" cm="1" vm="1">
        <f t="array" ref="EPY3">_xlfn._xlws.FILTER(Rutas,_xlfn._xlws.FILTER($B$2:$B$10000,$B$2:$B$10000&lt;&gt;"")=VALUE(INDEX(IdClientes,MATCH(EPY2,Clientes,0))))</f>
        <v>#VALUE!</v>
      </c>
      <c r="EPZ3" s="28" t="e" cm="1" vm="1">
        <f t="array" ref="EPZ3">_xlfn._xlws.FILTER(Rutas,_xlfn._xlws.FILTER($B$2:$B$10000,$B$2:$B$10000&lt;&gt;"")=VALUE(INDEX(IdClientes,MATCH(EPZ2,Clientes,0))))</f>
        <v>#VALUE!</v>
      </c>
      <c r="EQA3" s="28" t="e" cm="1" vm="1">
        <f t="array" ref="EQA3">_xlfn._xlws.FILTER(Rutas,_xlfn._xlws.FILTER($B$2:$B$10000,$B$2:$B$10000&lt;&gt;"")=VALUE(INDEX(IdClientes,MATCH(EQA2,Clientes,0))))</f>
        <v>#VALUE!</v>
      </c>
      <c r="EQB3" s="28" t="e" cm="1" vm="1">
        <f t="array" ref="EQB3">_xlfn._xlws.FILTER(Rutas,_xlfn._xlws.FILTER($B$2:$B$10000,$B$2:$B$10000&lt;&gt;"")=VALUE(INDEX(IdClientes,MATCH(EQB2,Clientes,0))))</f>
        <v>#VALUE!</v>
      </c>
      <c r="EQC3" s="28" t="e" cm="1" vm="1">
        <f t="array" ref="EQC3">_xlfn._xlws.FILTER(Rutas,_xlfn._xlws.FILTER($B$2:$B$10000,$B$2:$B$10000&lt;&gt;"")=VALUE(INDEX(IdClientes,MATCH(EQC2,Clientes,0))))</f>
        <v>#VALUE!</v>
      </c>
      <c r="EQD3" s="28" t="e" cm="1" vm="1">
        <f t="array" ref="EQD3">_xlfn._xlws.FILTER(Rutas,_xlfn._xlws.FILTER($B$2:$B$10000,$B$2:$B$10000&lt;&gt;"")=VALUE(INDEX(IdClientes,MATCH(EQD2,Clientes,0))))</f>
        <v>#VALUE!</v>
      </c>
      <c r="EQE3" s="28" t="e" cm="1" vm="1">
        <f t="array" ref="EQE3">_xlfn._xlws.FILTER(Rutas,_xlfn._xlws.FILTER($B$2:$B$10000,$B$2:$B$10000&lt;&gt;"")=VALUE(INDEX(IdClientes,MATCH(EQE2,Clientes,0))))</f>
        <v>#VALUE!</v>
      </c>
      <c r="EQF3" s="28" t="e" cm="1" vm="1">
        <f t="array" ref="EQF3">_xlfn._xlws.FILTER(Rutas,_xlfn._xlws.FILTER($B$2:$B$10000,$B$2:$B$10000&lt;&gt;"")=VALUE(INDEX(IdClientes,MATCH(EQF2,Clientes,0))))</f>
        <v>#VALUE!</v>
      </c>
      <c r="EQG3" s="28" t="e" cm="1" vm="1">
        <f t="array" ref="EQG3">_xlfn._xlws.FILTER(Rutas,_xlfn._xlws.FILTER($B$2:$B$10000,$B$2:$B$10000&lt;&gt;"")=VALUE(INDEX(IdClientes,MATCH(EQG2,Clientes,0))))</f>
        <v>#VALUE!</v>
      </c>
      <c r="EQH3" s="28" t="e" cm="1" vm="1">
        <f t="array" ref="EQH3">_xlfn._xlws.FILTER(Rutas,_xlfn._xlws.FILTER($B$2:$B$10000,$B$2:$B$10000&lt;&gt;"")=VALUE(INDEX(IdClientes,MATCH(EQH2,Clientes,0))))</f>
        <v>#VALUE!</v>
      </c>
      <c r="EQI3" s="28" t="e" cm="1" vm="1">
        <f t="array" ref="EQI3">_xlfn._xlws.FILTER(Rutas,_xlfn._xlws.FILTER($B$2:$B$10000,$B$2:$B$10000&lt;&gt;"")=VALUE(INDEX(IdClientes,MATCH(EQI2,Clientes,0))))</f>
        <v>#VALUE!</v>
      </c>
      <c r="EQJ3" s="28" t="e" cm="1" vm="1">
        <f t="array" ref="EQJ3">_xlfn._xlws.FILTER(Rutas,_xlfn._xlws.FILTER($B$2:$B$10000,$B$2:$B$10000&lt;&gt;"")=VALUE(INDEX(IdClientes,MATCH(EQJ2,Clientes,0))))</f>
        <v>#VALUE!</v>
      </c>
      <c r="EQK3" s="28" t="e" cm="1" vm="1">
        <f t="array" ref="EQK3">_xlfn._xlws.FILTER(Rutas,_xlfn._xlws.FILTER($B$2:$B$10000,$B$2:$B$10000&lt;&gt;"")=VALUE(INDEX(IdClientes,MATCH(EQK2,Clientes,0))))</f>
        <v>#VALUE!</v>
      </c>
      <c r="EQL3" s="28" t="e" cm="1" vm="1">
        <f t="array" ref="EQL3">_xlfn._xlws.FILTER(Rutas,_xlfn._xlws.FILTER($B$2:$B$10000,$B$2:$B$10000&lt;&gt;"")=VALUE(INDEX(IdClientes,MATCH(EQL2,Clientes,0))))</f>
        <v>#VALUE!</v>
      </c>
      <c r="EQM3" s="28" t="e" cm="1" vm="1">
        <f t="array" ref="EQM3">_xlfn._xlws.FILTER(Rutas,_xlfn._xlws.FILTER($B$2:$B$10000,$B$2:$B$10000&lt;&gt;"")=VALUE(INDEX(IdClientes,MATCH(EQM2,Clientes,0))))</f>
        <v>#VALUE!</v>
      </c>
      <c r="EQN3" s="28" t="e" cm="1" vm="1">
        <f t="array" ref="EQN3">_xlfn._xlws.FILTER(Rutas,_xlfn._xlws.FILTER($B$2:$B$10000,$B$2:$B$10000&lt;&gt;"")=VALUE(INDEX(IdClientes,MATCH(EQN2,Clientes,0))))</f>
        <v>#VALUE!</v>
      </c>
      <c r="EQO3" s="28" t="e" cm="1" vm="1">
        <f t="array" ref="EQO3">_xlfn._xlws.FILTER(Rutas,_xlfn._xlws.FILTER($B$2:$B$10000,$B$2:$B$10000&lt;&gt;"")=VALUE(INDEX(IdClientes,MATCH(EQO2,Clientes,0))))</f>
        <v>#VALUE!</v>
      </c>
      <c r="EQP3" s="28" t="e" cm="1" vm="1">
        <f t="array" ref="EQP3">_xlfn._xlws.FILTER(Rutas,_xlfn._xlws.FILTER($B$2:$B$10000,$B$2:$B$10000&lt;&gt;"")=VALUE(INDEX(IdClientes,MATCH(EQP2,Clientes,0))))</f>
        <v>#VALUE!</v>
      </c>
      <c r="EQQ3" s="28" t="e" cm="1" vm="1">
        <f t="array" ref="EQQ3">_xlfn._xlws.FILTER(Rutas,_xlfn._xlws.FILTER($B$2:$B$10000,$B$2:$B$10000&lt;&gt;"")=VALUE(INDEX(IdClientes,MATCH(EQQ2,Clientes,0))))</f>
        <v>#VALUE!</v>
      </c>
      <c r="EQR3" s="28" t="e" cm="1" vm="1">
        <f t="array" ref="EQR3">_xlfn._xlws.FILTER(Rutas,_xlfn._xlws.FILTER($B$2:$B$10000,$B$2:$B$10000&lt;&gt;"")=VALUE(INDEX(IdClientes,MATCH(EQR2,Clientes,0))))</f>
        <v>#VALUE!</v>
      </c>
      <c r="EQS3" s="28" t="e" cm="1" vm="1">
        <f t="array" ref="EQS3">_xlfn._xlws.FILTER(Rutas,_xlfn._xlws.FILTER($B$2:$B$10000,$B$2:$B$10000&lt;&gt;"")=VALUE(INDEX(IdClientes,MATCH(EQS2,Clientes,0))))</f>
        <v>#VALUE!</v>
      </c>
      <c r="EQT3" s="28" t="e" cm="1" vm="1">
        <f t="array" ref="EQT3">_xlfn._xlws.FILTER(Rutas,_xlfn._xlws.FILTER($B$2:$B$10000,$B$2:$B$10000&lt;&gt;"")=VALUE(INDEX(IdClientes,MATCH(EQT2,Clientes,0))))</f>
        <v>#VALUE!</v>
      </c>
      <c r="EQU3" s="28" t="e" cm="1" vm="1">
        <f t="array" ref="EQU3">_xlfn._xlws.FILTER(Rutas,_xlfn._xlws.FILTER($B$2:$B$10000,$B$2:$B$10000&lt;&gt;"")=VALUE(INDEX(IdClientes,MATCH(EQU2,Clientes,0))))</f>
        <v>#VALUE!</v>
      </c>
      <c r="EQV3" s="28" t="e" cm="1" vm="1">
        <f t="array" ref="EQV3">_xlfn._xlws.FILTER(Rutas,_xlfn._xlws.FILTER($B$2:$B$10000,$B$2:$B$10000&lt;&gt;"")=VALUE(INDEX(IdClientes,MATCH(EQV2,Clientes,0))))</f>
        <v>#VALUE!</v>
      </c>
      <c r="EQW3" s="28" t="e" cm="1" vm="1">
        <f t="array" ref="EQW3">_xlfn._xlws.FILTER(Rutas,_xlfn._xlws.FILTER($B$2:$B$10000,$B$2:$B$10000&lt;&gt;"")=VALUE(INDEX(IdClientes,MATCH(EQW2,Clientes,0))))</f>
        <v>#VALUE!</v>
      </c>
      <c r="EQX3" s="28" t="e" cm="1" vm="1">
        <f t="array" ref="EQX3">_xlfn._xlws.FILTER(Rutas,_xlfn._xlws.FILTER($B$2:$B$10000,$B$2:$B$10000&lt;&gt;"")=VALUE(INDEX(IdClientes,MATCH(EQX2,Clientes,0))))</f>
        <v>#VALUE!</v>
      </c>
      <c r="EQY3" s="28" t="e" cm="1" vm="1">
        <f t="array" ref="EQY3">_xlfn._xlws.FILTER(Rutas,_xlfn._xlws.FILTER($B$2:$B$10000,$B$2:$B$10000&lt;&gt;"")=VALUE(INDEX(IdClientes,MATCH(EQY2,Clientes,0))))</f>
        <v>#VALUE!</v>
      </c>
      <c r="EQZ3" s="28" t="e" cm="1" vm="1">
        <f t="array" ref="EQZ3">_xlfn._xlws.FILTER(Rutas,_xlfn._xlws.FILTER($B$2:$B$10000,$B$2:$B$10000&lt;&gt;"")=VALUE(INDEX(IdClientes,MATCH(EQZ2,Clientes,0))))</f>
        <v>#VALUE!</v>
      </c>
      <c r="ERA3" s="28" t="e" cm="1" vm="1">
        <f t="array" ref="ERA3">_xlfn._xlws.FILTER(Rutas,_xlfn._xlws.FILTER($B$2:$B$10000,$B$2:$B$10000&lt;&gt;"")=VALUE(INDEX(IdClientes,MATCH(ERA2,Clientes,0))))</f>
        <v>#VALUE!</v>
      </c>
      <c r="ERB3" s="28" t="e" cm="1" vm="1">
        <f t="array" ref="ERB3">_xlfn._xlws.FILTER(Rutas,_xlfn._xlws.FILTER($B$2:$B$10000,$B$2:$B$10000&lt;&gt;"")=VALUE(INDEX(IdClientes,MATCH(ERB2,Clientes,0))))</f>
        <v>#VALUE!</v>
      </c>
      <c r="ERC3" s="28" t="e" cm="1" vm="1">
        <f t="array" ref="ERC3">_xlfn._xlws.FILTER(Rutas,_xlfn._xlws.FILTER($B$2:$B$10000,$B$2:$B$10000&lt;&gt;"")=VALUE(INDEX(IdClientes,MATCH(ERC2,Clientes,0))))</f>
        <v>#VALUE!</v>
      </c>
      <c r="ERD3" s="28" t="e" cm="1" vm="1">
        <f t="array" ref="ERD3">_xlfn._xlws.FILTER(Rutas,_xlfn._xlws.FILTER($B$2:$B$10000,$B$2:$B$10000&lt;&gt;"")=VALUE(INDEX(IdClientes,MATCH(ERD2,Clientes,0))))</f>
        <v>#VALUE!</v>
      </c>
      <c r="ERE3" s="28" t="e" cm="1" vm="1">
        <f t="array" ref="ERE3">_xlfn._xlws.FILTER(Rutas,_xlfn._xlws.FILTER($B$2:$B$10000,$B$2:$B$10000&lt;&gt;"")=VALUE(INDEX(IdClientes,MATCH(ERE2,Clientes,0))))</f>
        <v>#VALUE!</v>
      </c>
      <c r="ERF3" s="28" t="e" cm="1" vm="1">
        <f t="array" ref="ERF3">_xlfn._xlws.FILTER(Rutas,_xlfn._xlws.FILTER($B$2:$B$10000,$B$2:$B$10000&lt;&gt;"")=VALUE(INDEX(IdClientes,MATCH(ERF2,Clientes,0))))</f>
        <v>#VALUE!</v>
      </c>
      <c r="ERG3" s="28" t="e" cm="1" vm="1">
        <f t="array" ref="ERG3">_xlfn._xlws.FILTER(Rutas,_xlfn._xlws.FILTER($B$2:$B$10000,$B$2:$B$10000&lt;&gt;"")=VALUE(INDEX(IdClientes,MATCH(ERG2,Clientes,0))))</f>
        <v>#VALUE!</v>
      </c>
      <c r="ERH3" s="28" t="e" cm="1" vm="1">
        <f t="array" ref="ERH3">_xlfn._xlws.FILTER(Rutas,_xlfn._xlws.FILTER($B$2:$B$10000,$B$2:$B$10000&lt;&gt;"")=VALUE(INDEX(IdClientes,MATCH(ERH2,Clientes,0))))</f>
        <v>#VALUE!</v>
      </c>
      <c r="ERI3" s="28" t="e" cm="1" vm="1">
        <f t="array" ref="ERI3">_xlfn._xlws.FILTER(Rutas,_xlfn._xlws.FILTER($B$2:$B$10000,$B$2:$B$10000&lt;&gt;"")=VALUE(INDEX(IdClientes,MATCH(ERI2,Clientes,0))))</f>
        <v>#VALUE!</v>
      </c>
      <c r="ERJ3" s="28" t="e" cm="1" vm="1">
        <f t="array" ref="ERJ3">_xlfn._xlws.FILTER(Rutas,_xlfn._xlws.FILTER($B$2:$B$10000,$B$2:$B$10000&lt;&gt;"")=VALUE(INDEX(IdClientes,MATCH(ERJ2,Clientes,0))))</f>
        <v>#VALUE!</v>
      </c>
      <c r="ERK3" s="28" t="e" cm="1" vm="1">
        <f t="array" ref="ERK3">_xlfn._xlws.FILTER(Rutas,_xlfn._xlws.FILTER($B$2:$B$10000,$B$2:$B$10000&lt;&gt;"")=VALUE(INDEX(IdClientes,MATCH(ERK2,Clientes,0))))</f>
        <v>#VALUE!</v>
      </c>
      <c r="ERL3" s="28" t="e" cm="1" vm="1">
        <f t="array" ref="ERL3">_xlfn._xlws.FILTER(Rutas,_xlfn._xlws.FILTER($B$2:$B$10000,$B$2:$B$10000&lt;&gt;"")=VALUE(INDEX(IdClientes,MATCH(ERL2,Clientes,0))))</f>
        <v>#VALUE!</v>
      </c>
      <c r="ERM3" s="28" t="e" cm="1" vm="1">
        <f t="array" ref="ERM3">_xlfn._xlws.FILTER(Rutas,_xlfn._xlws.FILTER($B$2:$B$10000,$B$2:$B$10000&lt;&gt;"")=VALUE(INDEX(IdClientes,MATCH(ERM2,Clientes,0))))</f>
        <v>#VALUE!</v>
      </c>
      <c r="ERN3" s="28" t="e" cm="1" vm="1">
        <f t="array" ref="ERN3">_xlfn._xlws.FILTER(Rutas,_xlfn._xlws.FILTER($B$2:$B$10000,$B$2:$B$10000&lt;&gt;"")=VALUE(INDEX(IdClientes,MATCH(ERN2,Clientes,0))))</f>
        <v>#VALUE!</v>
      </c>
      <c r="ERO3" s="28" t="e" cm="1" vm="1">
        <f t="array" ref="ERO3">_xlfn._xlws.FILTER(Rutas,_xlfn._xlws.FILTER($B$2:$B$10000,$B$2:$B$10000&lt;&gt;"")=VALUE(INDEX(IdClientes,MATCH(ERO2,Clientes,0))))</f>
        <v>#VALUE!</v>
      </c>
      <c r="ERP3" s="28" t="e" cm="1" vm="1">
        <f t="array" ref="ERP3">_xlfn._xlws.FILTER(Rutas,_xlfn._xlws.FILTER($B$2:$B$10000,$B$2:$B$10000&lt;&gt;"")=VALUE(INDEX(IdClientes,MATCH(ERP2,Clientes,0))))</f>
        <v>#VALUE!</v>
      </c>
      <c r="ERQ3" s="28" t="e" cm="1" vm="1">
        <f t="array" ref="ERQ3">_xlfn._xlws.FILTER(Rutas,_xlfn._xlws.FILTER($B$2:$B$10000,$B$2:$B$10000&lt;&gt;"")=VALUE(INDEX(IdClientes,MATCH(ERQ2,Clientes,0))))</f>
        <v>#VALUE!</v>
      </c>
      <c r="ERR3" s="28" t="e" cm="1" vm="1">
        <f t="array" ref="ERR3">_xlfn._xlws.FILTER(Rutas,_xlfn._xlws.FILTER($B$2:$B$10000,$B$2:$B$10000&lt;&gt;"")=VALUE(INDEX(IdClientes,MATCH(ERR2,Clientes,0))))</f>
        <v>#VALUE!</v>
      </c>
      <c r="ERS3" s="28" t="e" cm="1" vm="1">
        <f t="array" ref="ERS3">_xlfn._xlws.FILTER(Rutas,_xlfn._xlws.FILTER($B$2:$B$10000,$B$2:$B$10000&lt;&gt;"")=VALUE(INDEX(IdClientes,MATCH(ERS2,Clientes,0))))</f>
        <v>#VALUE!</v>
      </c>
      <c r="ERT3" s="28" t="e" cm="1" vm="1">
        <f t="array" ref="ERT3">_xlfn._xlws.FILTER(Rutas,_xlfn._xlws.FILTER($B$2:$B$10000,$B$2:$B$10000&lt;&gt;"")=VALUE(INDEX(IdClientes,MATCH(ERT2,Clientes,0))))</f>
        <v>#VALUE!</v>
      </c>
      <c r="ERU3" s="28" t="e" cm="1" vm="1">
        <f t="array" ref="ERU3">_xlfn._xlws.FILTER(Rutas,_xlfn._xlws.FILTER($B$2:$B$10000,$B$2:$B$10000&lt;&gt;"")=VALUE(INDEX(IdClientes,MATCH(ERU2,Clientes,0))))</f>
        <v>#VALUE!</v>
      </c>
      <c r="ERV3" s="28" t="e" cm="1" vm="1">
        <f t="array" ref="ERV3">_xlfn._xlws.FILTER(Rutas,_xlfn._xlws.FILTER($B$2:$B$10000,$B$2:$B$10000&lt;&gt;"")=VALUE(INDEX(IdClientes,MATCH(ERV2,Clientes,0))))</f>
        <v>#VALUE!</v>
      </c>
      <c r="ERW3" s="28" t="e" cm="1" vm="1">
        <f t="array" ref="ERW3">_xlfn._xlws.FILTER(Rutas,_xlfn._xlws.FILTER($B$2:$B$10000,$B$2:$B$10000&lt;&gt;"")=VALUE(INDEX(IdClientes,MATCH(ERW2,Clientes,0))))</f>
        <v>#VALUE!</v>
      </c>
      <c r="ERX3" s="28" t="e" cm="1" vm="1">
        <f t="array" ref="ERX3">_xlfn._xlws.FILTER(Rutas,_xlfn._xlws.FILTER($B$2:$B$10000,$B$2:$B$10000&lt;&gt;"")=VALUE(INDEX(IdClientes,MATCH(ERX2,Clientes,0))))</f>
        <v>#VALUE!</v>
      </c>
      <c r="ERY3" s="28" t="e" cm="1" vm="1">
        <f t="array" ref="ERY3">_xlfn._xlws.FILTER(Rutas,_xlfn._xlws.FILTER($B$2:$B$10000,$B$2:$B$10000&lt;&gt;"")=VALUE(INDEX(IdClientes,MATCH(ERY2,Clientes,0))))</f>
        <v>#VALUE!</v>
      </c>
      <c r="ERZ3" s="28" t="e" cm="1" vm="1">
        <f t="array" ref="ERZ3">_xlfn._xlws.FILTER(Rutas,_xlfn._xlws.FILTER($B$2:$B$10000,$B$2:$B$10000&lt;&gt;"")=VALUE(INDEX(IdClientes,MATCH(ERZ2,Clientes,0))))</f>
        <v>#VALUE!</v>
      </c>
      <c r="ESA3" s="28" t="e" cm="1" vm="1">
        <f t="array" ref="ESA3">_xlfn._xlws.FILTER(Rutas,_xlfn._xlws.FILTER($B$2:$B$10000,$B$2:$B$10000&lt;&gt;"")=VALUE(INDEX(IdClientes,MATCH(ESA2,Clientes,0))))</f>
        <v>#VALUE!</v>
      </c>
      <c r="ESB3" s="28" t="e" cm="1" vm="1">
        <f t="array" ref="ESB3">_xlfn._xlws.FILTER(Rutas,_xlfn._xlws.FILTER($B$2:$B$10000,$B$2:$B$10000&lt;&gt;"")=VALUE(INDEX(IdClientes,MATCH(ESB2,Clientes,0))))</f>
        <v>#VALUE!</v>
      </c>
      <c r="ESC3" s="28" t="e" cm="1" vm="1">
        <f t="array" ref="ESC3">_xlfn._xlws.FILTER(Rutas,_xlfn._xlws.FILTER($B$2:$B$10000,$B$2:$B$10000&lt;&gt;"")=VALUE(INDEX(IdClientes,MATCH(ESC2,Clientes,0))))</f>
        <v>#VALUE!</v>
      </c>
      <c r="ESD3" s="28" t="e" cm="1" vm="1">
        <f t="array" ref="ESD3">_xlfn._xlws.FILTER(Rutas,_xlfn._xlws.FILTER($B$2:$B$10000,$B$2:$B$10000&lt;&gt;"")=VALUE(INDEX(IdClientes,MATCH(ESD2,Clientes,0))))</f>
        <v>#VALUE!</v>
      </c>
      <c r="ESE3" s="28" t="e" cm="1" vm="1">
        <f t="array" ref="ESE3">_xlfn._xlws.FILTER(Rutas,_xlfn._xlws.FILTER($B$2:$B$10000,$B$2:$B$10000&lt;&gt;"")=VALUE(INDEX(IdClientes,MATCH(ESE2,Clientes,0))))</f>
        <v>#VALUE!</v>
      </c>
      <c r="ESF3" s="28" t="e" cm="1" vm="1">
        <f t="array" ref="ESF3">_xlfn._xlws.FILTER(Rutas,_xlfn._xlws.FILTER($B$2:$B$10000,$B$2:$B$10000&lt;&gt;"")=VALUE(INDEX(IdClientes,MATCH(ESF2,Clientes,0))))</f>
        <v>#VALUE!</v>
      </c>
      <c r="ESG3" s="28" t="e" cm="1" vm="1">
        <f t="array" ref="ESG3">_xlfn._xlws.FILTER(Rutas,_xlfn._xlws.FILTER($B$2:$B$10000,$B$2:$B$10000&lt;&gt;"")=VALUE(INDEX(IdClientes,MATCH(ESG2,Clientes,0))))</f>
        <v>#VALUE!</v>
      </c>
      <c r="ESH3" s="28" t="e" cm="1" vm="1">
        <f t="array" ref="ESH3">_xlfn._xlws.FILTER(Rutas,_xlfn._xlws.FILTER($B$2:$B$10000,$B$2:$B$10000&lt;&gt;"")=VALUE(INDEX(IdClientes,MATCH(ESH2,Clientes,0))))</f>
        <v>#VALUE!</v>
      </c>
      <c r="ESI3" s="28" t="e" cm="1" vm="1">
        <f t="array" ref="ESI3">_xlfn._xlws.FILTER(Rutas,_xlfn._xlws.FILTER($B$2:$B$10000,$B$2:$B$10000&lt;&gt;"")=VALUE(INDEX(IdClientes,MATCH(ESI2,Clientes,0))))</f>
        <v>#VALUE!</v>
      </c>
      <c r="ESJ3" s="28" t="e" cm="1" vm="1">
        <f t="array" ref="ESJ3">_xlfn._xlws.FILTER(Rutas,_xlfn._xlws.FILTER($B$2:$B$10000,$B$2:$B$10000&lt;&gt;"")=VALUE(INDEX(IdClientes,MATCH(ESJ2,Clientes,0))))</f>
        <v>#VALUE!</v>
      </c>
      <c r="ESK3" s="28" t="e" cm="1" vm="1">
        <f t="array" ref="ESK3">_xlfn._xlws.FILTER(Rutas,_xlfn._xlws.FILTER($B$2:$B$10000,$B$2:$B$10000&lt;&gt;"")=VALUE(INDEX(IdClientes,MATCH(ESK2,Clientes,0))))</f>
        <v>#VALUE!</v>
      </c>
      <c r="ESL3" s="28" t="e" cm="1" vm="1">
        <f t="array" ref="ESL3">_xlfn._xlws.FILTER(Rutas,_xlfn._xlws.FILTER($B$2:$B$10000,$B$2:$B$10000&lt;&gt;"")=VALUE(INDEX(IdClientes,MATCH(ESL2,Clientes,0))))</f>
        <v>#VALUE!</v>
      </c>
      <c r="ESM3" s="28" t="e" cm="1" vm="1">
        <f t="array" ref="ESM3">_xlfn._xlws.FILTER(Rutas,_xlfn._xlws.FILTER($B$2:$B$10000,$B$2:$B$10000&lt;&gt;"")=VALUE(INDEX(IdClientes,MATCH(ESM2,Clientes,0))))</f>
        <v>#VALUE!</v>
      </c>
      <c r="ESN3" s="28" t="e" cm="1" vm="1">
        <f t="array" ref="ESN3">_xlfn._xlws.FILTER(Rutas,_xlfn._xlws.FILTER($B$2:$B$10000,$B$2:$B$10000&lt;&gt;"")=VALUE(INDEX(IdClientes,MATCH(ESN2,Clientes,0))))</f>
        <v>#VALUE!</v>
      </c>
      <c r="ESO3" s="28" t="e" cm="1" vm="1">
        <f t="array" ref="ESO3">_xlfn._xlws.FILTER(Rutas,_xlfn._xlws.FILTER($B$2:$B$10000,$B$2:$B$10000&lt;&gt;"")=VALUE(INDEX(IdClientes,MATCH(ESO2,Clientes,0))))</f>
        <v>#VALUE!</v>
      </c>
      <c r="ESP3" s="28" t="e" cm="1" vm="1">
        <f t="array" ref="ESP3">_xlfn._xlws.FILTER(Rutas,_xlfn._xlws.FILTER($B$2:$B$10000,$B$2:$B$10000&lt;&gt;"")=VALUE(INDEX(IdClientes,MATCH(ESP2,Clientes,0))))</f>
        <v>#VALUE!</v>
      </c>
      <c r="ESQ3" s="28" t="e" cm="1" vm="1">
        <f t="array" ref="ESQ3">_xlfn._xlws.FILTER(Rutas,_xlfn._xlws.FILTER($B$2:$B$10000,$B$2:$B$10000&lt;&gt;"")=VALUE(INDEX(IdClientes,MATCH(ESQ2,Clientes,0))))</f>
        <v>#VALUE!</v>
      </c>
      <c r="ESR3" s="28" t="e" cm="1" vm="1">
        <f t="array" ref="ESR3">_xlfn._xlws.FILTER(Rutas,_xlfn._xlws.FILTER($B$2:$B$10000,$B$2:$B$10000&lt;&gt;"")=VALUE(INDEX(IdClientes,MATCH(ESR2,Clientes,0))))</f>
        <v>#VALUE!</v>
      </c>
      <c r="ESS3" s="28" t="e" cm="1" vm="1">
        <f t="array" ref="ESS3">_xlfn._xlws.FILTER(Rutas,_xlfn._xlws.FILTER($B$2:$B$10000,$B$2:$B$10000&lt;&gt;"")=VALUE(INDEX(IdClientes,MATCH(ESS2,Clientes,0))))</f>
        <v>#VALUE!</v>
      </c>
      <c r="EST3" s="28" t="e" cm="1" vm="1">
        <f t="array" ref="EST3">_xlfn._xlws.FILTER(Rutas,_xlfn._xlws.FILTER($B$2:$B$10000,$B$2:$B$10000&lt;&gt;"")=VALUE(INDEX(IdClientes,MATCH(EST2,Clientes,0))))</f>
        <v>#VALUE!</v>
      </c>
      <c r="ESU3" s="28" t="e" cm="1" vm="1">
        <f t="array" ref="ESU3">_xlfn._xlws.FILTER(Rutas,_xlfn._xlws.FILTER($B$2:$B$10000,$B$2:$B$10000&lt;&gt;"")=VALUE(INDEX(IdClientes,MATCH(ESU2,Clientes,0))))</f>
        <v>#VALUE!</v>
      </c>
      <c r="ESV3" s="28" t="e" cm="1" vm="1">
        <f t="array" ref="ESV3">_xlfn._xlws.FILTER(Rutas,_xlfn._xlws.FILTER($B$2:$B$10000,$B$2:$B$10000&lt;&gt;"")=VALUE(INDEX(IdClientes,MATCH(ESV2,Clientes,0))))</f>
        <v>#VALUE!</v>
      </c>
      <c r="ESW3" s="28" t="e" cm="1" vm="1">
        <f t="array" ref="ESW3">_xlfn._xlws.FILTER(Rutas,_xlfn._xlws.FILTER($B$2:$B$10000,$B$2:$B$10000&lt;&gt;"")=VALUE(INDEX(IdClientes,MATCH(ESW2,Clientes,0))))</f>
        <v>#VALUE!</v>
      </c>
      <c r="ESX3" s="28" t="e" cm="1" vm="1">
        <f t="array" ref="ESX3">_xlfn._xlws.FILTER(Rutas,_xlfn._xlws.FILTER($B$2:$B$10000,$B$2:$B$10000&lt;&gt;"")=VALUE(INDEX(IdClientes,MATCH(ESX2,Clientes,0))))</f>
        <v>#VALUE!</v>
      </c>
      <c r="ESY3" s="28" t="e" cm="1" vm="1">
        <f t="array" ref="ESY3">_xlfn._xlws.FILTER(Rutas,_xlfn._xlws.FILTER($B$2:$B$10000,$B$2:$B$10000&lt;&gt;"")=VALUE(INDEX(IdClientes,MATCH(ESY2,Clientes,0))))</f>
        <v>#VALUE!</v>
      </c>
      <c r="ESZ3" s="28" t="e" cm="1" vm="1">
        <f t="array" ref="ESZ3">_xlfn._xlws.FILTER(Rutas,_xlfn._xlws.FILTER($B$2:$B$10000,$B$2:$B$10000&lt;&gt;"")=VALUE(INDEX(IdClientes,MATCH(ESZ2,Clientes,0))))</f>
        <v>#VALUE!</v>
      </c>
      <c r="ETA3" s="28" t="e" cm="1" vm="1">
        <f t="array" ref="ETA3">_xlfn._xlws.FILTER(Rutas,_xlfn._xlws.FILTER($B$2:$B$10000,$B$2:$B$10000&lt;&gt;"")=VALUE(INDEX(IdClientes,MATCH(ETA2,Clientes,0))))</f>
        <v>#VALUE!</v>
      </c>
      <c r="ETB3" s="28" t="e" cm="1" vm="1">
        <f t="array" ref="ETB3">_xlfn._xlws.FILTER(Rutas,_xlfn._xlws.FILTER($B$2:$B$10000,$B$2:$B$10000&lt;&gt;"")=VALUE(INDEX(IdClientes,MATCH(ETB2,Clientes,0))))</f>
        <v>#VALUE!</v>
      </c>
      <c r="ETC3" s="28" t="e" cm="1" vm="1">
        <f t="array" ref="ETC3">_xlfn._xlws.FILTER(Rutas,_xlfn._xlws.FILTER($B$2:$B$10000,$B$2:$B$10000&lt;&gt;"")=VALUE(INDEX(IdClientes,MATCH(ETC2,Clientes,0))))</f>
        <v>#VALUE!</v>
      </c>
      <c r="ETD3" s="28" t="e" cm="1" vm="1">
        <f t="array" ref="ETD3">_xlfn._xlws.FILTER(Rutas,_xlfn._xlws.FILTER($B$2:$B$10000,$B$2:$B$10000&lt;&gt;"")=VALUE(INDEX(IdClientes,MATCH(ETD2,Clientes,0))))</f>
        <v>#VALUE!</v>
      </c>
      <c r="ETE3" s="28" t="e" cm="1" vm="1">
        <f t="array" ref="ETE3">_xlfn._xlws.FILTER(Rutas,_xlfn._xlws.FILTER($B$2:$B$10000,$B$2:$B$10000&lt;&gt;"")=VALUE(INDEX(IdClientes,MATCH(ETE2,Clientes,0))))</f>
        <v>#VALUE!</v>
      </c>
      <c r="ETF3" s="28" t="e" cm="1" vm="1">
        <f t="array" ref="ETF3">_xlfn._xlws.FILTER(Rutas,_xlfn._xlws.FILTER($B$2:$B$10000,$B$2:$B$10000&lt;&gt;"")=VALUE(INDEX(IdClientes,MATCH(ETF2,Clientes,0))))</f>
        <v>#VALUE!</v>
      </c>
      <c r="ETG3" s="28" t="e" cm="1" vm="1">
        <f t="array" ref="ETG3">_xlfn._xlws.FILTER(Rutas,_xlfn._xlws.FILTER($B$2:$B$10000,$B$2:$B$10000&lt;&gt;"")=VALUE(INDEX(IdClientes,MATCH(ETG2,Clientes,0))))</f>
        <v>#VALUE!</v>
      </c>
      <c r="ETH3" s="28" t="e" cm="1" vm="1">
        <f t="array" ref="ETH3">_xlfn._xlws.FILTER(Rutas,_xlfn._xlws.FILTER($B$2:$B$10000,$B$2:$B$10000&lt;&gt;"")=VALUE(INDEX(IdClientes,MATCH(ETH2,Clientes,0))))</f>
        <v>#VALUE!</v>
      </c>
      <c r="ETI3" s="28" t="e" cm="1" vm="1">
        <f t="array" ref="ETI3">_xlfn._xlws.FILTER(Rutas,_xlfn._xlws.FILTER($B$2:$B$10000,$B$2:$B$10000&lt;&gt;"")=VALUE(INDEX(IdClientes,MATCH(ETI2,Clientes,0))))</f>
        <v>#VALUE!</v>
      </c>
      <c r="ETJ3" s="28" t="e" cm="1" vm="1">
        <f t="array" ref="ETJ3">_xlfn._xlws.FILTER(Rutas,_xlfn._xlws.FILTER($B$2:$B$10000,$B$2:$B$10000&lt;&gt;"")=VALUE(INDEX(IdClientes,MATCH(ETJ2,Clientes,0))))</f>
        <v>#VALUE!</v>
      </c>
      <c r="ETK3" s="28" t="e" cm="1" vm="1">
        <f t="array" ref="ETK3">_xlfn._xlws.FILTER(Rutas,_xlfn._xlws.FILTER($B$2:$B$10000,$B$2:$B$10000&lt;&gt;"")=VALUE(INDEX(IdClientes,MATCH(ETK2,Clientes,0))))</f>
        <v>#VALUE!</v>
      </c>
      <c r="ETL3" s="28" t="e" cm="1" vm="1">
        <f t="array" ref="ETL3">_xlfn._xlws.FILTER(Rutas,_xlfn._xlws.FILTER($B$2:$B$10000,$B$2:$B$10000&lt;&gt;"")=VALUE(INDEX(IdClientes,MATCH(ETL2,Clientes,0))))</f>
        <v>#VALUE!</v>
      </c>
      <c r="ETM3" s="28" t="e" cm="1" vm="1">
        <f t="array" ref="ETM3">_xlfn._xlws.FILTER(Rutas,_xlfn._xlws.FILTER($B$2:$B$10000,$B$2:$B$10000&lt;&gt;"")=VALUE(INDEX(IdClientes,MATCH(ETM2,Clientes,0))))</f>
        <v>#VALUE!</v>
      </c>
      <c r="ETN3" s="28" t="e" cm="1" vm="1">
        <f t="array" ref="ETN3">_xlfn._xlws.FILTER(Rutas,_xlfn._xlws.FILTER($B$2:$B$10000,$B$2:$B$10000&lt;&gt;"")=VALUE(INDEX(IdClientes,MATCH(ETN2,Clientes,0))))</f>
        <v>#VALUE!</v>
      </c>
      <c r="ETO3" s="28" t="e" cm="1" vm="1">
        <f t="array" ref="ETO3">_xlfn._xlws.FILTER(Rutas,_xlfn._xlws.FILTER($B$2:$B$10000,$B$2:$B$10000&lt;&gt;"")=VALUE(INDEX(IdClientes,MATCH(ETO2,Clientes,0))))</f>
        <v>#VALUE!</v>
      </c>
      <c r="ETP3" s="28" t="e" cm="1" vm="1">
        <f t="array" ref="ETP3">_xlfn._xlws.FILTER(Rutas,_xlfn._xlws.FILTER($B$2:$B$10000,$B$2:$B$10000&lt;&gt;"")=VALUE(INDEX(IdClientes,MATCH(ETP2,Clientes,0))))</f>
        <v>#VALUE!</v>
      </c>
      <c r="ETQ3" s="28" t="e" cm="1" vm="1">
        <f t="array" ref="ETQ3">_xlfn._xlws.FILTER(Rutas,_xlfn._xlws.FILTER($B$2:$B$10000,$B$2:$B$10000&lt;&gt;"")=VALUE(INDEX(IdClientes,MATCH(ETQ2,Clientes,0))))</f>
        <v>#VALUE!</v>
      </c>
      <c r="ETR3" s="28" t="e" cm="1" vm="1">
        <f t="array" ref="ETR3">_xlfn._xlws.FILTER(Rutas,_xlfn._xlws.FILTER($B$2:$B$10000,$B$2:$B$10000&lt;&gt;"")=VALUE(INDEX(IdClientes,MATCH(ETR2,Clientes,0))))</f>
        <v>#VALUE!</v>
      </c>
      <c r="ETS3" s="28" t="e" cm="1" vm="1">
        <f t="array" ref="ETS3">_xlfn._xlws.FILTER(Rutas,_xlfn._xlws.FILTER($B$2:$B$10000,$B$2:$B$10000&lt;&gt;"")=VALUE(INDEX(IdClientes,MATCH(ETS2,Clientes,0))))</f>
        <v>#VALUE!</v>
      </c>
      <c r="ETT3" s="28" t="e" cm="1" vm="1">
        <f t="array" ref="ETT3">_xlfn._xlws.FILTER(Rutas,_xlfn._xlws.FILTER($B$2:$B$10000,$B$2:$B$10000&lt;&gt;"")=VALUE(INDEX(IdClientes,MATCH(ETT2,Clientes,0))))</f>
        <v>#VALUE!</v>
      </c>
      <c r="ETU3" s="28" t="e" cm="1" vm="1">
        <f t="array" ref="ETU3">_xlfn._xlws.FILTER(Rutas,_xlfn._xlws.FILTER($B$2:$B$10000,$B$2:$B$10000&lt;&gt;"")=VALUE(INDEX(IdClientes,MATCH(ETU2,Clientes,0))))</f>
        <v>#VALUE!</v>
      </c>
      <c r="ETV3" s="28" t="e" cm="1" vm="1">
        <f t="array" ref="ETV3">_xlfn._xlws.FILTER(Rutas,_xlfn._xlws.FILTER($B$2:$B$10000,$B$2:$B$10000&lt;&gt;"")=VALUE(INDEX(IdClientes,MATCH(ETV2,Clientes,0))))</f>
        <v>#VALUE!</v>
      </c>
      <c r="ETW3" s="28" t="e" cm="1" vm="1">
        <f t="array" ref="ETW3">_xlfn._xlws.FILTER(Rutas,_xlfn._xlws.FILTER($B$2:$B$10000,$B$2:$B$10000&lt;&gt;"")=VALUE(INDEX(IdClientes,MATCH(ETW2,Clientes,0))))</f>
        <v>#VALUE!</v>
      </c>
      <c r="ETX3" s="28" t="e" cm="1" vm="1">
        <f t="array" ref="ETX3">_xlfn._xlws.FILTER(Rutas,_xlfn._xlws.FILTER($B$2:$B$10000,$B$2:$B$10000&lt;&gt;"")=VALUE(INDEX(IdClientes,MATCH(ETX2,Clientes,0))))</f>
        <v>#VALUE!</v>
      </c>
      <c r="ETY3" s="28" t="e" cm="1" vm="1">
        <f t="array" ref="ETY3">_xlfn._xlws.FILTER(Rutas,_xlfn._xlws.FILTER($B$2:$B$10000,$B$2:$B$10000&lt;&gt;"")=VALUE(INDEX(IdClientes,MATCH(ETY2,Clientes,0))))</f>
        <v>#VALUE!</v>
      </c>
      <c r="ETZ3" s="28" t="e" cm="1" vm="1">
        <f t="array" ref="ETZ3">_xlfn._xlws.FILTER(Rutas,_xlfn._xlws.FILTER($B$2:$B$10000,$B$2:$B$10000&lt;&gt;"")=VALUE(INDEX(IdClientes,MATCH(ETZ2,Clientes,0))))</f>
        <v>#VALUE!</v>
      </c>
      <c r="EUA3" s="28" t="e" cm="1" vm="1">
        <f t="array" ref="EUA3">_xlfn._xlws.FILTER(Rutas,_xlfn._xlws.FILTER($B$2:$B$10000,$B$2:$B$10000&lt;&gt;"")=VALUE(INDEX(IdClientes,MATCH(EUA2,Clientes,0))))</f>
        <v>#VALUE!</v>
      </c>
      <c r="EUB3" s="28" t="e" cm="1" vm="1">
        <f t="array" ref="EUB3">_xlfn._xlws.FILTER(Rutas,_xlfn._xlws.FILTER($B$2:$B$10000,$B$2:$B$10000&lt;&gt;"")=VALUE(INDEX(IdClientes,MATCH(EUB2,Clientes,0))))</f>
        <v>#VALUE!</v>
      </c>
      <c r="EUC3" s="28" t="e" cm="1" vm="1">
        <f t="array" ref="EUC3">_xlfn._xlws.FILTER(Rutas,_xlfn._xlws.FILTER($B$2:$B$10000,$B$2:$B$10000&lt;&gt;"")=VALUE(INDEX(IdClientes,MATCH(EUC2,Clientes,0))))</f>
        <v>#VALUE!</v>
      </c>
      <c r="EUD3" s="28" t="e" cm="1" vm="1">
        <f t="array" ref="EUD3">_xlfn._xlws.FILTER(Rutas,_xlfn._xlws.FILTER($B$2:$B$10000,$B$2:$B$10000&lt;&gt;"")=VALUE(INDEX(IdClientes,MATCH(EUD2,Clientes,0))))</f>
        <v>#VALUE!</v>
      </c>
      <c r="EUE3" s="28" t="e" cm="1" vm="1">
        <f t="array" ref="EUE3">_xlfn._xlws.FILTER(Rutas,_xlfn._xlws.FILTER($B$2:$B$10000,$B$2:$B$10000&lt;&gt;"")=VALUE(INDEX(IdClientes,MATCH(EUE2,Clientes,0))))</f>
        <v>#VALUE!</v>
      </c>
      <c r="EUF3" s="28" t="e" cm="1" vm="1">
        <f t="array" ref="EUF3">_xlfn._xlws.FILTER(Rutas,_xlfn._xlws.FILTER($B$2:$B$10000,$B$2:$B$10000&lt;&gt;"")=VALUE(INDEX(IdClientes,MATCH(EUF2,Clientes,0))))</f>
        <v>#VALUE!</v>
      </c>
      <c r="EUG3" s="28" t="e" cm="1" vm="1">
        <f t="array" ref="EUG3">_xlfn._xlws.FILTER(Rutas,_xlfn._xlws.FILTER($B$2:$B$10000,$B$2:$B$10000&lt;&gt;"")=VALUE(INDEX(IdClientes,MATCH(EUG2,Clientes,0))))</f>
        <v>#VALUE!</v>
      </c>
      <c r="EUH3" s="28" t="e" cm="1" vm="1">
        <f t="array" ref="EUH3">_xlfn._xlws.FILTER(Rutas,_xlfn._xlws.FILTER($B$2:$B$10000,$B$2:$B$10000&lt;&gt;"")=VALUE(INDEX(IdClientes,MATCH(EUH2,Clientes,0))))</f>
        <v>#VALUE!</v>
      </c>
      <c r="EUI3" s="28" t="e" cm="1" vm="1">
        <f t="array" ref="EUI3">_xlfn._xlws.FILTER(Rutas,_xlfn._xlws.FILTER($B$2:$B$10000,$B$2:$B$10000&lt;&gt;"")=VALUE(INDEX(IdClientes,MATCH(EUI2,Clientes,0))))</f>
        <v>#VALUE!</v>
      </c>
      <c r="EUJ3" s="28" t="e" cm="1" vm="1">
        <f t="array" ref="EUJ3">_xlfn._xlws.FILTER(Rutas,_xlfn._xlws.FILTER($B$2:$B$10000,$B$2:$B$10000&lt;&gt;"")=VALUE(INDEX(IdClientes,MATCH(EUJ2,Clientes,0))))</f>
        <v>#VALUE!</v>
      </c>
      <c r="EUK3" s="28" t="e" cm="1" vm="1">
        <f t="array" ref="EUK3">_xlfn._xlws.FILTER(Rutas,_xlfn._xlws.FILTER($B$2:$B$10000,$B$2:$B$10000&lt;&gt;"")=VALUE(INDEX(IdClientes,MATCH(EUK2,Clientes,0))))</f>
        <v>#VALUE!</v>
      </c>
      <c r="EUL3" s="28" t="e" cm="1" vm="1">
        <f t="array" ref="EUL3">_xlfn._xlws.FILTER(Rutas,_xlfn._xlws.FILTER($B$2:$B$10000,$B$2:$B$10000&lt;&gt;"")=VALUE(INDEX(IdClientes,MATCH(EUL2,Clientes,0))))</f>
        <v>#VALUE!</v>
      </c>
      <c r="EUM3" s="28" t="e" cm="1" vm="1">
        <f t="array" ref="EUM3">_xlfn._xlws.FILTER(Rutas,_xlfn._xlws.FILTER($B$2:$B$10000,$B$2:$B$10000&lt;&gt;"")=VALUE(INDEX(IdClientes,MATCH(EUM2,Clientes,0))))</f>
        <v>#VALUE!</v>
      </c>
      <c r="EUN3" s="28" t="e" cm="1" vm="1">
        <f t="array" ref="EUN3">_xlfn._xlws.FILTER(Rutas,_xlfn._xlws.FILTER($B$2:$B$10000,$B$2:$B$10000&lt;&gt;"")=VALUE(INDEX(IdClientes,MATCH(EUN2,Clientes,0))))</f>
        <v>#VALUE!</v>
      </c>
      <c r="EUO3" s="28" t="e" cm="1" vm="1">
        <f t="array" ref="EUO3">_xlfn._xlws.FILTER(Rutas,_xlfn._xlws.FILTER($B$2:$B$10000,$B$2:$B$10000&lt;&gt;"")=VALUE(INDEX(IdClientes,MATCH(EUO2,Clientes,0))))</f>
        <v>#VALUE!</v>
      </c>
      <c r="EUP3" s="28" t="e" cm="1" vm="1">
        <f t="array" ref="EUP3">_xlfn._xlws.FILTER(Rutas,_xlfn._xlws.FILTER($B$2:$B$10000,$B$2:$B$10000&lt;&gt;"")=VALUE(INDEX(IdClientes,MATCH(EUP2,Clientes,0))))</f>
        <v>#VALUE!</v>
      </c>
      <c r="EUQ3" s="28" t="e" cm="1" vm="1">
        <f t="array" ref="EUQ3">_xlfn._xlws.FILTER(Rutas,_xlfn._xlws.FILTER($B$2:$B$10000,$B$2:$B$10000&lt;&gt;"")=VALUE(INDEX(IdClientes,MATCH(EUQ2,Clientes,0))))</f>
        <v>#VALUE!</v>
      </c>
      <c r="EUR3" s="28" t="e" cm="1" vm="1">
        <f t="array" ref="EUR3">_xlfn._xlws.FILTER(Rutas,_xlfn._xlws.FILTER($B$2:$B$10000,$B$2:$B$10000&lt;&gt;"")=VALUE(INDEX(IdClientes,MATCH(EUR2,Clientes,0))))</f>
        <v>#VALUE!</v>
      </c>
      <c r="EUS3" s="28" t="e" cm="1" vm="1">
        <f t="array" ref="EUS3">_xlfn._xlws.FILTER(Rutas,_xlfn._xlws.FILTER($B$2:$B$10000,$B$2:$B$10000&lt;&gt;"")=VALUE(INDEX(IdClientes,MATCH(EUS2,Clientes,0))))</f>
        <v>#VALUE!</v>
      </c>
      <c r="EUT3" s="28" t="e" cm="1" vm="1">
        <f t="array" ref="EUT3">_xlfn._xlws.FILTER(Rutas,_xlfn._xlws.FILTER($B$2:$B$10000,$B$2:$B$10000&lt;&gt;"")=VALUE(INDEX(IdClientes,MATCH(EUT2,Clientes,0))))</f>
        <v>#VALUE!</v>
      </c>
      <c r="EUU3" s="28" t="e" cm="1" vm="1">
        <f t="array" ref="EUU3">_xlfn._xlws.FILTER(Rutas,_xlfn._xlws.FILTER($B$2:$B$10000,$B$2:$B$10000&lt;&gt;"")=VALUE(INDEX(IdClientes,MATCH(EUU2,Clientes,0))))</f>
        <v>#VALUE!</v>
      </c>
      <c r="EUV3" s="28" t="e" cm="1" vm="1">
        <f t="array" ref="EUV3">_xlfn._xlws.FILTER(Rutas,_xlfn._xlws.FILTER($B$2:$B$10000,$B$2:$B$10000&lt;&gt;"")=VALUE(INDEX(IdClientes,MATCH(EUV2,Clientes,0))))</f>
        <v>#VALUE!</v>
      </c>
      <c r="EUW3" s="28" t="e" cm="1" vm="1">
        <f t="array" ref="EUW3">_xlfn._xlws.FILTER(Rutas,_xlfn._xlws.FILTER($B$2:$B$10000,$B$2:$B$10000&lt;&gt;"")=VALUE(INDEX(IdClientes,MATCH(EUW2,Clientes,0))))</f>
        <v>#VALUE!</v>
      </c>
      <c r="EUX3" s="28" t="e" cm="1" vm="1">
        <f t="array" ref="EUX3">_xlfn._xlws.FILTER(Rutas,_xlfn._xlws.FILTER($B$2:$B$10000,$B$2:$B$10000&lt;&gt;"")=VALUE(INDEX(IdClientes,MATCH(EUX2,Clientes,0))))</f>
        <v>#VALUE!</v>
      </c>
      <c r="EUY3" s="28" t="e" cm="1" vm="1">
        <f t="array" ref="EUY3">_xlfn._xlws.FILTER(Rutas,_xlfn._xlws.FILTER($B$2:$B$10000,$B$2:$B$10000&lt;&gt;"")=VALUE(INDEX(IdClientes,MATCH(EUY2,Clientes,0))))</f>
        <v>#VALUE!</v>
      </c>
      <c r="EUZ3" s="28" t="e" cm="1" vm="1">
        <f t="array" ref="EUZ3">_xlfn._xlws.FILTER(Rutas,_xlfn._xlws.FILTER($B$2:$B$10000,$B$2:$B$10000&lt;&gt;"")=VALUE(INDEX(IdClientes,MATCH(EUZ2,Clientes,0))))</f>
        <v>#VALUE!</v>
      </c>
      <c r="EVA3" s="28" t="e" cm="1" vm="1">
        <f t="array" ref="EVA3">_xlfn._xlws.FILTER(Rutas,_xlfn._xlws.FILTER($B$2:$B$10000,$B$2:$B$10000&lt;&gt;"")=VALUE(INDEX(IdClientes,MATCH(EVA2,Clientes,0))))</f>
        <v>#VALUE!</v>
      </c>
      <c r="EVB3" s="28" t="e" cm="1" vm="1">
        <f t="array" ref="EVB3">_xlfn._xlws.FILTER(Rutas,_xlfn._xlws.FILTER($B$2:$B$10000,$B$2:$B$10000&lt;&gt;"")=VALUE(INDEX(IdClientes,MATCH(EVB2,Clientes,0))))</f>
        <v>#VALUE!</v>
      </c>
      <c r="EVC3" s="28" t="e" cm="1" vm="1">
        <f t="array" ref="EVC3">_xlfn._xlws.FILTER(Rutas,_xlfn._xlws.FILTER($B$2:$B$10000,$B$2:$B$10000&lt;&gt;"")=VALUE(INDEX(IdClientes,MATCH(EVC2,Clientes,0))))</f>
        <v>#VALUE!</v>
      </c>
      <c r="EVD3" s="28" t="e" cm="1" vm="1">
        <f t="array" ref="EVD3">_xlfn._xlws.FILTER(Rutas,_xlfn._xlws.FILTER($B$2:$B$10000,$B$2:$B$10000&lt;&gt;"")=VALUE(INDEX(IdClientes,MATCH(EVD2,Clientes,0))))</f>
        <v>#VALUE!</v>
      </c>
      <c r="EVE3" s="28" t="e" cm="1" vm="1">
        <f t="array" ref="EVE3">_xlfn._xlws.FILTER(Rutas,_xlfn._xlws.FILTER($B$2:$B$10000,$B$2:$B$10000&lt;&gt;"")=VALUE(INDEX(IdClientes,MATCH(EVE2,Clientes,0))))</f>
        <v>#VALUE!</v>
      </c>
      <c r="EVF3" s="28" t="e" cm="1" vm="1">
        <f t="array" ref="EVF3">_xlfn._xlws.FILTER(Rutas,_xlfn._xlws.FILTER($B$2:$B$10000,$B$2:$B$10000&lt;&gt;"")=VALUE(INDEX(IdClientes,MATCH(EVF2,Clientes,0))))</f>
        <v>#VALUE!</v>
      </c>
      <c r="EVG3" s="28" t="e" cm="1" vm="1">
        <f t="array" ref="EVG3">_xlfn._xlws.FILTER(Rutas,_xlfn._xlws.FILTER($B$2:$B$10000,$B$2:$B$10000&lt;&gt;"")=VALUE(INDEX(IdClientes,MATCH(EVG2,Clientes,0))))</f>
        <v>#VALUE!</v>
      </c>
      <c r="EVH3" s="28" t="e" cm="1" vm="1">
        <f t="array" ref="EVH3">_xlfn._xlws.FILTER(Rutas,_xlfn._xlws.FILTER($B$2:$B$10000,$B$2:$B$10000&lt;&gt;"")=VALUE(INDEX(IdClientes,MATCH(EVH2,Clientes,0))))</f>
        <v>#VALUE!</v>
      </c>
      <c r="EVI3" s="28" t="e" cm="1" vm="1">
        <f t="array" ref="EVI3">_xlfn._xlws.FILTER(Rutas,_xlfn._xlws.FILTER($B$2:$B$10000,$B$2:$B$10000&lt;&gt;"")=VALUE(INDEX(IdClientes,MATCH(EVI2,Clientes,0))))</f>
        <v>#VALUE!</v>
      </c>
      <c r="EVJ3" s="28" t="e" cm="1" vm="1">
        <f t="array" ref="EVJ3">_xlfn._xlws.FILTER(Rutas,_xlfn._xlws.FILTER($B$2:$B$10000,$B$2:$B$10000&lt;&gt;"")=VALUE(INDEX(IdClientes,MATCH(EVJ2,Clientes,0))))</f>
        <v>#VALUE!</v>
      </c>
      <c r="EVK3" s="28" t="e" cm="1" vm="1">
        <f t="array" ref="EVK3">_xlfn._xlws.FILTER(Rutas,_xlfn._xlws.FILTER($B$2:$B$10000,$B$2:$B$10000&lt;&gt;"")=VALUE(INDEX(IdClientes,MATCH(EVK2,Clientes,0))))</f>
        <v>#VALUE!</v>
      </c>
      <c r="EVL3" s="28" t="e" cm="1" vm="1">
        <f t="array" ref="EVL3">_xlfn._xlws.FILTER(Rutas,_xlfn._xlws.FILTER($B$2:$B$10000,$B$2:$B$10000&lt;&gt;"")=VALUE(INDEX(IdClientes,MATCH(EVL2,Clientes,0))))</f>
        <v>#VALUE!</v>
      </c>
      <c r="EVM3" s="28" t="e" cm="1" vm="1">
        <f t="array" ref="EVM3">_xlfn._xlws.FILTER(Rutas,_xlfn._xlws.FILTER($B$2:$B$10000,$B$2:$B$10000&lt;&gt;"")=VALUE(INDEX(IdClientes,MATCH(EVM2,Clientes,0))))</f>
        <v>#VALUE!</v>
      </c>
      <c r="EVN3" s="28" t="e" cm="1" vm="1">
        <f t="array" ref="EVN3">_xlfn._xlws.FILTER(Rutas,_xlfn._xlws.FILTER($B$2:$B$10000,$B$2:$B$10000&lt;&gt;"")=VALUE(INDEX(IdClientes,MATCH(EVN2,Clientes,0))))</f>
        <v>#VALUE!</v>
      </c>
      <c r="EVO3" s="28" t="e" cm="1" vm="1">
        <f t="array" ref="EVO3">_xlfn._xlws.FILTER(Rutas,_xlfn._xlws.FILTER($B$2:$B$10000,$B$2:$B$10000&lt;&gt;"")=VALUE(INDEX(IdClientes,MATCH(EVO2,Clientes,0))))</f>
        <v>#VALUE!</v>
      </c>
      <c r="EVP3" s="28" t="e" cm="1" vm="1">
        <f t="array" ref="EVP3">_xlfn._xlws.FILTER(Rutas,_xlfn._xlws.FILTER($B$2:$B$10000,$B$2:$B$10000&lt;&gt;"")=VALUE(INDEX(IdClientes,MATCH(EVP2,Clientes,0))))</f>
        <v>#VALUE!</v>
      </c>
      <c r="EVQ3" s="28" t="e" cm="1" vm="1">
        <f t="array" ref="EVQ3">_xlfn._xlws.FILTER(Rutas,_xlfn._xlws.FILTER($B$2:$B$10000,$B$2:$B$10000&lt;&gt;"")=VALUE(INDEX(IdClientes,MATCH(EVQ2,Clientes,0))))</f>
        <v>#VALUE!</v>
      </c>
      <c r="EVR3" s="28" t="e" cm="1" vm="1">
        <f t="array" ref="EVR3">_xlfn._xlws.FILTER(Rutas,_xlfn._xlws.FILTER($B$2:$B$10000,$B$2:$B$10000&lt;&gt;"")=VALUE(INDEX(IdClientes,MATCH(EVR2,Clientes,0))))</f>
        <v>#VALUE!</v>
      </c>
      <c r="EVS3" s="28" t="e" cm="1" vm="1">
        <f t="array" ref="EVS3">_xlfn._xlws.FILTER(Rutas,_xlfn._xlws.FILTER($B$2:$B$10000,$B$2:$B$10000&lt;&gt;"")=VALUE(INDEX(IdClientes,MATCH(EVS2,Clientes,0))))</f>
        <v>#VALUE!</v>
      </c>
      <c r="EVT3" s="28" t="e" cm="1" vm="1">
        <f t="array" ref="EVT3">_xlfn._xlws.FILTER(Rutas,_xlfn._xlws.FILTER($B$2:$B$10000,$B$2:$B$10000&lt;&gt;"")=VALUE(INDEX(IdClientes,MATCH(EVT2,Clientes,0))))</f>
        <v>#VALUE!</v>
      </c>
      <c r="EVU3" s="28" t="e" cm="1" vm="1">
        <f t="array" ref="EVU3">_xlfn._xlws.FILTER(Rutas,_xlfn._xlws.FILTER($B$2:$B$10000,$B$2:$B$10000&lt;&gt;"")=VALUE(INDEX(IdClientes,MATCH(EVU2,Clientes,0))))</f>
        <v>#VALUE!</v>
      </c>
      <c r="EVV3" s="28" t="e" cm="1" vm="1">
        <f t="array" ref="EVV3">_xlfn._xlws.FILTER(Rutas,_xlfn._xlws.FILTER($B$2:$B$10000,$B$2:$B$10000&lt;&gt;"")=VALUE(INDEX(IdClientes,MATCH(EVV2,Clientes,0))))</f>
        <v>#VALUE!</v>
      </c>
      <c r="EVW3" s="28" t="e" cm="1" vm="1">
        <f t="array" ref="EVW3">_xlfn._xlws.FILTER(Rutas,_xlfn._xlws.FILTER($B$2:$B$10000,$B$2:$B$10000&lt;&gt;"")=VALUE(INDEX(IdClientes,MATCH(EVW2,Clientes,0))))</f>
        <v>#VALUE!</v>
      </c>
      <c r="EVX3" s="28" t="e" cm="1" vm="1">
        <f t="array" ref="EVX3">_xlfn._xlws.FILTER(Rutas,_xlfn._xlws.FILTER($B$2:$B$10000,$B$2:$B$10000&lt;&gt;"")=VALUE(INDEX(IdClientes,MATCH(EVX2,Clientes,0))))</f>
        <v>#VALUE!</v>
      </c>
      <c r="EVY3" s="28" t="e" cm="1" vm="1">
        <f t="array" ref="EVY3">_xlfn._xlws.FILTER(Rutas,_xlfn._xlws.FILTER($B$2:$B$10000,$B$2:$B$10000&lt;&gt;"")=VALUE(INDEX(IdClientes,MATCH(EVY2,Clientes,0))))</f>
        <v>#VALUE!</v>
      </c>
      <c r="EVZ3" s="28" t="e" cm="1" vm="1">
        <f t="array" ref="EVZ3">_xlfn._xlws.FILTER(Rutas,_xlfn._xlws.FILTER($B$2:$B$10000,$B$2:$B$10000&lt;&gt;"")=VALUE(INDEX(IdClientes,MATCH(EVZ2,Clientes,0))))</f>
        <v>#VALUE!</v>
      </c>
      <c r="EWA3" s="28" t="e" cm="1" vm="1">
        <f t="array" ref="EWA3">_xlfn._xlws.FILTER(Rutas,_xlfn._xlws.FILTER($B$2:$B$10000,$B$2:$B$10000&lt;&gt;"")=VALUE(INDEX(IdClientes,MATCH(EWA2,Clientes,0))))</f>
        <v>#VALUE!</v>
      </c>
      <c r="EWB3" s="28" t="e" cm="1" vm="1">
        <f t="array" ref="EWB3">_xlfn._xlws.FILTER(Rutas,_xlfn._xlws.FILTER($B$2:$B$10000,$B$2:$B$10000&lt;&gt;"")=VALUE(INDEX(IdClientes,MATCH(EWB2,Clientes,0))))</f>
        <v>#VALUE!</v>
      </c>
      <c r="EWC3" s="28" t="e" cm="1" vm="1">
        <f t="array" ref="EWC3">_xlfn._xlws.FILTER(Rutas,_xlfn._xlws.FILTER($B$2:$B$10000,$B$2:$B$10000&lt;&gt;"")=VALUE(INDEX(IdClientes,MATCH(EWC2,Clientes,0))))</f>
        <v>#VALUE!</v>
      </c>
      <c r="EWD3" s="28" t="e" cm="1" vm="1">
        <f t="array" ref="EWD3">_xlfn._xlws.FILTER(Rutas,_xlfn._xlws.FILTER($B$2:$B$10000,$B$2:$B$10000&lt;&gt;"")=VALUE(INDEX(IdClientes,MATCH(EWD2,Clientes,0))))</f>
        <v>#VALUE!</v>
      </c>
      <c r="EWE3" s="28" t="e" cm="1" vm="1">
        <f t="array" ref="EWE3">_xlfn._xlws.FILTER(Rutas,_xlfn._xlws.FILTER($B$2:$B$10000,$B$2:$B$10000&lt;&gt;"")=VALUE(INDEX(IdClientes,MATCH(EWE2,Clientes,0))))</f>
        <v>#VALUE!</v>
      </c>
      <c r="EWF3" s="28" t="e" cm="1" vm="1">
        <f t="array" ref="EWF3">_xlfn._xlws.FILTER(Rutas,_xlfn._xlws.FILTER($B$2:$B$10000,$B$2:$B$10000&lt;&gt;"")=VALUE(INDEX(IdClientes,MATCH(EWF2,Clientes,0))))</f>
        <v>#VALUE!</v>
      </c>
      <c r="EWG3" s="28" t="e" cm="1" vm="1">
        <f t="array" ref="EWG3">_xlfn._xlws.FILTER(Rutas,_xlfn._xlws.FILTER($B$2:$B$10000,$B$2:$B$10000&lt;&gt;"")=VALUE(INDEX(IdClientes,MATCH(EWG2,Clientes,0))))</f>
        <v>#VALUE!</v>
      </c>
      <c r="EWH3" s="28" t="e" cm="1" vm="1">
        <f t="array" ref="EWH3">_xlfn._xlws.FILTER(Rutas,_xlfn._xlws.FILTER($B$2:$B$10000,$B$2:$B$10000&lt;&gt;"")=VALUE(INDEX(IdClientes,MATCH(EWH2,Clientes,0))))</f>
        <v>#VALUE!</v>
      </c>
      <c r="EWI3" s="28" t="e" cm="1" vm="1">
        <f t="array" ref="EWI3">_xlfn._xlws.FILTER(Rutas,_xlfn._xlws.FILTER($B$2:$B$10000,$B$2:$B$10000&lt;&gt;"")=VALUE(INDEX(IdClientes,MATCH(EWI2,Clientes,0))))</f>
        <v>#VALUE!</v>
      </c>
      <c r="EWJ3" s="28" t="e" cm="1" vm="1">
        <f t="array" ref="EWJ3">_xlfn._xlws.FILTER(Rutas,_xlfn._xlws.FILTER($B$2:$B$10000,$B$2:$B$10000&lt;&gt;"")=VALUE(INDEX(IdClientes,MATCH(EWJ2,Clientes,0))))</f>
        <v>#VALUE!</v>
      </c>
      <c r="EWK3" s="28" t="e" cm="1" vm="1">
        <f t="array" ref="EWK3">_xlfn._xlws.FILTER(Rutas,_xlfn._xlws.FILTER($B$2:$B$10000,$B$2:$B$10000&lt;&gt;"")=VALUE(INDEX(IdClientes,MATCH(EWK2,Clientes,0))))</f>
        <v>#VALUE!</v>
      </c>
      <c r="EWL3" s="28" t="e" cm="1" vm="1">
        <f t="array" ref="EWL3">_xlfn._xlws.FILTER(Rutas,_xlfn._xlws.FILTER($B$2:$B$10000,$B$2:$B$10000&lt;&gt;"")=VALUE(INDEX(IdClientes,MATCH(EWL2,Clientes,0))))</f>
        <v>#VALUE!</v>
      </c>
      <c r="EWM3" s="28" t="e" cm="1" vm="1">
        <f t="array" ref="EWM3">_xlfn._xlws.FILTER(Rutas,_xlfn._xlws.FILTER($B$2:$B$10000,$B$2:$B$10000&lt;&gt;"")=VALUE(INDEX(IdClientes,MATCH(EWM2,Clientes,0))))</f>
        <v>#VALUE!</v>
      </c>
      <c r="EWN3" s="28" t="e" cm="1" vm="1">
        <f t="array" ref="EWN3">_xlfn._xlws.FILTER(Rutas,_xlfn._xlws.FILTER($B$2:$B$10000,$B$2:$B$10000&lt;&gt;"")=VALUE(INDEX(IdClientes,MATCH(EWN2,Clientes,0))))</f>
        <v>#VALUE!</v>
      </c>
      <c r="EWO3" s="28" t="e" cm="1" vm="1">
        <f t="array" ref="EWO3">_xlfn._xlws.FILTER(Rutas,_xlfn._xlws.FILTER($B$2:$B$10000,$B$2:$B$10000&lt;&gt;"")=VALUE(INDEX(IdClientes,MATCH(EWO2,Clientes,0))))</f>
        <v>#VALUE!</v>
      </c>
      <c r="EWP3" s="28" t="e" cm="1" vm="1">
        <f t="array" ref="EWP3">_xlfn._xlws.FILTER(Rutas,_xlfn._xlws.FILTER($B$2:$B$10000,$B$2:$B$10000&lt;&gt;"")=VALUE(INDEX(IdClientes,MATCH(EWP2,Clientes,0))))</f>
        <v>#VALUE!</v>
      </c>
      <c r="EWQ3" s="28" t="e" cm="1" vm="1">
        <f t="array" ref="EWQ3">_xlfn._xlws.FILTER(Rutas,_xlfn._xlws.FILTER($B$2:$B$10000,$B$2:$B$10000&lt;&gt;"")=VALUE(INDEX(IdClientes,MATCH(EWQ2,Clientes,0))))</f>
        <v>#VALUE!</v>
      </c>
      <c r="EWR3" s="28" t="e" cm="1" vm="1">
        <f t="array" ref="EWR3">_xlfn._xlws.FILTER(Rutas,_xlfn._xlws.FILTER($B$2:$B$10000,$B$2:$B$10000&lt;&gt;"")=VALUE(INDEX(IdClientes,MATCH(EWR2,Clientes,0))))</f>
        <v>#VALUE!</v>
      </c>
      <c r="EWS3" s="28" t="e" cm="1" vm="1">
        <f t="array" ref="EWS3">_xlfn._xlws.FILTER(Rutas,_xlfn._xlws.FILTER($B$2:$B$10000,$B$2:$B$10000&lt;&gt;"")=VALUE(INDEX(IdClientes,MATCH(EWS2,Clientes,0))))</f>
        <v>#VALUE!</v>
      </c>
      <c r="EWT3" s="28" t="e" cm="1" vm="1">
        <f t="array" ref="EWT3">_xlfn._xlws.FILTER(Rutas,_xlfn._xlws.FILTER($B$2:$B$10000,$B$2:$B$10000&lt;&gt;"")=VALUE(INDEX(IdClientes,MATCH(EWT2,Clientes,0))))</f>
        <v>#VALUE!</v>
      </c>
      <c r="EWU3" s="28" t="e" cm="1" vm="1">
        <f t="array" ref="EWU3">_xlfn._xlws.FILTER(Rutas,_xlfn._xlws.FILTER($B$2:$B$10000,$B$2:$B$10000&lt;&gt;"")=VALUE(INDEX(IdClientes,MATCH(EWU2,Clientes,0))))</f>
        <v>#VALUE!</v>
      </c>
      <c r="EWV3" s="28" t="e" cm="1" vm="1">
        <f t="array" ref="EWV3">_xlfn._xlws.FILTER(Rutas,_xlfn._xlws.FILTER($B$2:$B$10000,$B$2:$B$10000&lt;&gt;"")=VALUE(INDEX(IdClientes,MATCH(EWV2,Clientes,0))))</f>
        <v>#VALUE!</v>
      </c>
      <c r="EWW3" s="28" t="e" cm="1" vm="1">
        <f t="array" ref="EWW3">_xlfn._xlws.FILTER(Rutas,_xlfn._xlws.FILTER($B$2:$B$10000,$B$2:$B$10000&lt;&gt;"")=VALUE(INDEX(IdClientes,MATCH(EWW2,Clientes,0))))</f>
        <v>#VALUE!</v>
      </c>
      <c r="EWX3" s="28" t="e" cm="1" vm="1">
        <f t="array" ref="EWX3">_xlfn._xlws.FILTER(Rutas,_xlfn._xlws.FILTER($B$2:$B$10000,$B$2:$B$10000&lt;&gt;"")=VALUE(INDEX(IdClientes,MATCH(EWX2,Clientes,0))))</f>
        <v>#VALUE!</v>
      </c>
      <c r="EWY3" s="28" t="e" cm="1" vm="1">
        <f t="array" ref="EWY3">_xlfn._xlws.FILTER(Rutas,_xlfn._xlws.FILTER($B$2:$B$10000,$B$2:$B$10000&lt;&gt;"")=VALUE(INDEX(IdClientes,MATCH(EWY2,Clientes,0))))</f>
        <v>#VALUE!</v>
      </c>
      <c r="EWZ3" s="28" t="e" cm="1" vm="1">
        <f t="array" ref="EWZ3">_xlfn._xlws.FILTER(Rutas,_xlfn._xlws.FILTER($B$2:$B$10000,$B$2:$B$10000&lt;&gt;"")=VALUE(INDEX(IdClientes,MATCH(EWZ2,Clientes,0))))</f>
        <v>#VALUE!</v>
      </c>
      <c r="EXA3" s="28" t="e" cm="1" vm="1">
        <f t="array" ref="EXA3">_xlfn._xlws.FILTER(Rutas,_xlfn._xlws.FILTER($B$2:$B$10000,$B$2:$B$10000&lt;&gt;"")=VALUE(INDEX(IdClientes,MATCH(EXA2,Clientes,0))))</f>
        <v>#VALUE!</v>
      </c>
      <c r="EXB3" s="28" t="e" cm="1" vm="1">
        <f t="array" ref="EXB3">_xlfn._xlws.FILTER(Rutas,_xlfn._xlws.FILTER($B$2:$B$10000,$B$2:$B$10000&lt;&gt;"")=VALUE(INDEX(IdClientes,MATCH(EXB2,Clientes,0))))</f>
        <v>#VALUE!</v>
      </c>
      <c r="EXC3" s="28" t="e" cm="1" vm="1">
        <f t="array" ref="EXC3">_xlfn._xlws.FILTER(Rutas,_xlfn._xlws.FILTER($B$2:$B$10000,$B$2:$B$10000&lt;&gt;"")=VALUE(INDEX(IdClientes,MATCH(EXC2,Clientes,0))))</f>
        <v>#VALUE!</v>
      </c>
      <c r="EXD3" s="28" t="e" cm="1" vm="1">
        <f t="array" ref="EXD3">_xlfn._xlws.FILTER(Rutas,_xlfn._xlws.FILTER($B$2:$B$10000,$B$2:$B$10000&lt;&gt;"")=VALUE(INDEX(IdClientes,MATCH(EXD2,Clientes,0))))</f>
        <v>#VALUE!</v>
      </c>
      <c r="EXE3" s="28" t="e" cm="1" vm="1">
        <f t="array" ref="EXE3">_xlfn._xlws.FILTER(Rutas,_xlfn._xlws.FILTER($B$2:$B$10000,$B$2:$B$10000&lt;&gt;"")=VALUE(INDEX(IdClientes,MATCH(EXE2,Clientes,0))))</f>
        <v>#VALUE!</v>
      </c>
      <c r="EXF3" s="28" t="e" cm="1" vm="1">
        <f t="array" ref="EXF3">_xlfn._xlws.FILTER(Rutas,_xlfn._xlws.FILTER($B$2:$B$10000,$B$2:$B$10000&lt;&gt;"")=VALUE(INDEX(IdClientes,MATCH(EXF2,Clientes,0))))</f>
        <v>#VALUE!</v>
      </c>
      <c r="EXG3" s="28" t="e" cm="1" vm="1">
        <f t="array" ref="EXG3">_xlfn._xlws.FILTER(Rutas,_xlfn._xlws.FILTER($B$2:$B$10000,$B$2:$B$10000&lt;&gt;"")=VALUE(INDEX(IdClientes,MATCH(EXG2,Clientes,0))))</f>
        <v>#VALUE!</v>
      </c>
      <c r="EXH3" s="28" t="e" cm="1" vm="1">
        <f t="array" ref="EXH3">_xlfn._xlws.FILTER(Rutas,_xlfn._xlws.FILTER($B$2:$B$10000,$B$2:$B$10000&lt;&gt;"")=VALUE(INDEX(IdClientes,MATCH(EXH2,Clientes,0))))</f>
        <v>#VALUE!</v>
      </c>
      <c r="EXI3" s="28" t="e" cm="1" vm="1">
        <f t="array" ref="EXI3">_xlfn._xlws.FILTER(Rutas,_xlfn._xlws.FILTER($B$2:$B$10000,$B$2:$B$10000&lt;&gt;"")=VALUE(INDEX(IdClientes,MATCH(EXI2,Clientes,0))))</f>
        <v>#VALUE!</v>
      </c>
      <c r="EXJ3" s="28" t="e" cm="1" vm="1">
        <f t="array" ref="EXJ3">_xlfn._xlws.FILTER(Rutas,_xlfn._xlws.FILTER($B$2:$B$10000,$B$2:$B$10000&lt;&gt;"")=VALUE(INDEX(IdClientes,MATCH(EXJ2,Clientes,0))))</f>
        <v>#VALUE!</v>
      </c>
      <c r="EXK3" s="28" t="e" cm="1" vm="1">
        <f t="array" ref="EXK3">_xlfn._xlws.FILTER(Rutas,_xlfn._xlws.FILTER($B$2:$B$10000,$B$2:$B$10000&lt;&gt;"")=VALUE(INDEX(IdClientes,MATCH(EXK2,Clientes,0))))</f>
        <v>#VALUE!</v>
      </c>
      <c r="EXL3" s="28" t="e" cm="1" vm="1">
        <f t="array" ref="EXL3">_xlfn._xlws.FILTER(Rutas,_xlfn._xlws.FILTER($B$2:$B$10000,$B$2:$B$10000&lt;&gt;"")=VALUE(INDEX(IdClientes,MATCH(EXL2,Clientes,0))))</f>
        <v>#VALUE!</v>
      </c>
      <c r="EXM3" s="28" t="e" cm="1" vm="1">
        <f t="array" ref="EXM3">_xlfn._xlws.FILTER(Rutas,_xlfn._xlws.FILTER($B$2:$B$10000,$B$2:$B$10000&lt;&gt;"")=VALUE(INDEX(IdClientes,MATCH(EXM2,Clientes,0))))</f>
        <v>#VALUE!</v>
      </c>
      <c r="EXN3" s="28" t="e" cm="1" vm="1">
        <f t="array" ref="EXN3">_xlfn._xlws.FILTER(Rutas,_xlfn._xlws.FILTER($B$2:$B$10000,$B$2:$B$10000&lt;&gt;"")=VALUE(INDEX(IdClientes,MATCH(EXN2,Clientes,0))))</f>
        <v>#VALUE!</v>
      </c>
      <c r="EXO3" s="28" t="e" cm="1" vm="1">
        <f t="array" ref="EXO3">_xlfn._xlws.FILTER(Rutas,_xlfn._xlws.FILTER($B$2:$B$10000,$B$2:$B$10000&lt;&gt;"")=VALUE(INDEX(IdClientes,MATCH(EXO2,Clientes,0))))</f>
        <v>#VALUE!</v>
      </c>
      <c r="EXP3" s="28" t="e" cm="1" vm="1">
        <f t="array" ref="EXP3">_xlfn._xlws.FILTER(Rutas,_xlfn._xlws.FILTER($B$2:$B$10000,$B$2:$B$10000&lt;&gt;"")=VALUE(INDEX(IdClientes,MATCH(EXP2,Clientes,0))))</f>
        <v>#VALUE!</v>
      </c>
      <c r="EXQ3" s="28" t="e" cm="1" vm="1">
        <f t="array" ref="EXQ3">_xlfn._xlws.FILTER(Rutas,_xlfn._xlws.FILTER($B$2:$B$10000,$B$2:$B$10000&lt;&gt;"")=VALUE(INDEX(IdClientes,MATCH(EXQ2,Clientes,0))))</f>
        <v>#VALUE!</v>
      </c>
      <c r="EXR3" s="28" t="e" cm="1" vm="1">
        <f t="array" ref="EXR3">_xlfn._xlws.FILTER(Rutas,_xlfn._xlws.FILTER($B$2:$B$10000,$B$2:$B$10000&lt;&gt;"")=VALUE(INDEX(IdClientes,MATCH(EXR2,Clientes,0))))</f>
        <v>#VALUE!</v>
      </c>
      <c r="EXS3" s="28" t="e" cm="1" vm="1">
        <f t="array" ref="EXS3">_xlfn._xlws.FILTER(Rutas,_xlfn._xlws.FILTER($B$2:$B$10000,$B$2:$B$10000&lt;&gt;"")=VALUE(INDEX(IdClientes,MATCH(EXS2,Clientes,0))))</f>
        <v>#VALUE!</v>
      </c>
      <c r="EXT3" s="28" t="e" cm="1" vm="1">
        <f t="array" ref="EXT3">_xlfn._xlws.FILTER(Rutas,_xlfn._xlws.FILTER($B$2:$B$10000,$B$2:$B$10000&lt;&gt;"")=VALUE(INDEX(IdClientes,MATCH(EXT2,Clientes,0))))</f>
        <v>#VALUE!</v>
      </c>
      <c r="EXU3" s="28" t="e" cm="1" vm="1">
        <f t="array" ref="EXU3">_xlfn._xlws.FILTER(Rutas,_xlfn._xlws.FILTER($B$2:$B$10000,$B$2:$B$10000&lt;&gt;"")=VALUE(INDEX(IdClientes,MATCH(EXU2,Clientes,0))))</f>
        <v>#VALUE!</v>
      </c>
      <c r="EXV3" s="28" t="e" cm="1" vm="1">
        <f t="array" ref="EXV3">_xlfn._xlws.FILTER(Rutas,_xlfn._xlws.FILTER($B$2:$B$10000,$B$2:$B$10000&lt;&gt;"")=VALUE(INDEX(IdClientes,MATCH(EXV2,Clientes,0))))</f>
        <v>#VALUE!</v>
      </c>
      <c r="EXW3" s="28" t="e" cm="1" vm="1">
        <f t="array" ref="EXW3">_xlfn._xlws.FILTER(Rutas,_xlfn._xlws.FILTER($B$2:$B$10000,$B$2:$B$10000&lt;&gt;"")=VALUE(INDEX(IdClientes,MATCH(EXW2,Clientes,0))))</f>
        <v>#VALUE!</v>
      </c>
      <c r="EXX3" s="28" t="e" cm="1" vm="1">
        <f t="array" ref="EXX3">_xlfn._xlws.FILTER(Rutas,_xlfn._xlws.FILTER($B$2:$B$10000,$B$2:$B$10000&lt;&gt;"")=VALUE(INDEX(IdClientes,MATCH(EXX2,Clientes,0))))</f>
        <v>#VALUE!</v>
      </c>
      <c r="EXY3" s="28" t="e" cm="1" vm="1">
        <f t="array" ref="EXY3">_xlfn._xlws.FILTER(Rutas,_xlfn._xlws.FILTER($B$2:$B$10000,$B$2:$B$10000&lt;&gt;"")=VALUE(INDEX(IdClientes,MATCH(EXY2,Clientes,0))))</f>
        <v>#VALUE!</v>
      </c>
      <c r="EXZ3" s="28" t="e" cm="1" vm="1">
        <f t="array" ref="EXZ3">_xlfn._xlws.FILTER(Rutas,_xlfn._xlws.FILTER($B$2:$B$10000,$B$2:$B$10000&lt;&gt;"")=VALUE(INDEX(IdClientes,MATCH(EXZ2,Clientes,0))))</f>
        <v>#VALUE!</v>
      </c>
      <c r="EYA3" s="28" t="e" cm="1" vm="1">
        <f t="array" ref="EYA3">_xlfn._xlws.FILTER(Rutas,_xlfn._xlws.FILTER($B$2:$B$10000,$B$2:$B$10000&lt;&gt;"")=VALUE(INDEX(IdClientes,MATCH(EYA2,Clientes,0))))</f>
        <v>#VALUE!</v>
      </c>
      <c r="EYB3" s="28" t="e" cm="1" vm="1">
        <f t="array" ref="EYB3">_xlfn._xlws.FILTER(Rutas,_xlfn._xlws.FILTER($B$2:$B$10000,$B$2:$B$10000&lt;&gt;"")=VALUE(INDEX(IdClientes,MATCH(EYB2,Clientes,0))))</f>
        <v>#VALUE!</v>
      </c>
      <c r="EYC3" s="28" t="e" cm="1" vm="1">
        <f t="array" ref="EYC3">_xlfn._xlws.FILTER(Rutas,_xlfn._xlws.FILTER($B$2:$B$10000,$B$2:$B$10000&lt;&gt;"")=VALUE(INDEX(IdClientes,MATCH(EYC2,Clientes,0))))</f>
        <v>#VALUE!</v>
      </c>
      <c r="EYD3" s="28" t="e" cm="1" vm="1">
        <f t="array" ref="EYD3">_xlfn._xlws.FILTER(Rutas,_xlfn._xlws.FILTER($B$2:$B$10000,$B$2:$B$10000&lt;&gt;"")=VALUE(INDEX(IdClientes,MATCH(EYD2,Clientes,0))))</f>
        <v>#VALUE!</v>
      </c>
      <c r="EYE3" s="28" t="e" cm="1" vm="1">
        <f t="array" ref="EYE3">_xlfn._xlws.FILTER(Rutas,_xlfn._xlws.FILTER($B$2:$B$10000,$B$2:$B$10000&lt;&gt;"")=VALUE(INDEX(IdClientes,MATCH(EYE2,Clientes,0))))</f>
        <v>#VALUE!</v>
      </c>
      <c r="EYF3" s="28" t="e" cm="1" vm="1">
        <f t="array" ref="EYF3">_xlfn._xlws.FILTER(Rutas,_xlfn._xlws.FILTER($B$2:$B$10000,$B$2:$B$10000&lt;&gt;"")=VALUE(INDEX(IdClientes,MATCH(EYF2,Clientes,0))))</f>
        <v>#VALUE!</v>
      </c>
      <c r="EYG3" s="28" t="e" cm="1" vm="1">
        <f t="array" ref="EYG3">_xlfn._xlws.FILTER(Rutas,_xlfn._xlws.FILTER($B$2:$B$10000,$B$2:$B$10000&lt;&gt;"")=VALUE(INDEX(IdClientes,MATCH(EYG2,Clientes,0))))</f>
        <v>#VALUE!</v>
      </c>
      <c r="EYH3" s="28" t="e" cm="1" vm="1">
        <f t="array" ref="EYH3">_xlfn._xlws.FILTER(Rutas,_xlfn._xlws.FILTER($B$2:$B$10000,$B$2:$B$10000&lt;&gt;"")=VALUE(INDEX(IdClientes,MATCH(EYH2,Clientes,0))))</f>
        <v>#VALUE!</v>
      </c>
      <c r="EYI3" s="28" t="e" cm="1" vm="1">
        <f t="array" ref="EYI3">_xlfn._xlws.FILTER(Rutas,_xlfn._xlws.FILTER($B$2:$B$10000,$B$2:$B$10000&lt;&gt;"")=VALUE(INDEX(IdClientes,MATCH(EYI2,Clientes,0))))</f>
        <v>#VALUE!</v>
      </c>
      <c r="EYJ3" s="28" t="e" cm="1" vm="1">
        <f t="array" ref="EYJ3">_xlfn._xlws.FILTER(Rutas,_xlfn._xlws.FILTER($B$2:$B$10000,$B$2:$B$10000&lt;&gt;"")=VALUE(INDEX(IdClientes,MATCH(EYJ2,Clientes,0))))</f>
        <v>#VALUE!</v>
      </c>
      <c r="EYK3" s="28" t="e" cm="1" vm="1">
        <f t="array" ref="EYK3">_xlfn._xlws.FILTER(Rutas,_xlfn._xlws.FILTER($B$2:$B$10000,$B$2:$B$10000&lt;&gt;"")=VALUE(INDEX(IdClientes,MATCH(EYK2,Clientes,0))))</f>
        <v>#VALUE!</v>
      </c>
      <c r="EYL3" s="28" t="e" cm="1" vm="1">
        <f t="array" ref="EYL3">_xlfn._xlws.FILTER(Rutas,_xlfn._xlws.FILTER($B$2:$B$10000,$B$2:$B$10000&lt;&gt;"")=VALUE(INDEX(IdClientes,MATCH(EYL2,Clientes,0))))</f>
        <v>#VALUE!</v>
      </c>
      <c r="EYM3" s="28" t="e" cm="1" vm="1">
        <f t="array" ref="EYM3">_xlfn._xlws.FILTER(Rutas,_xlfn._xlws.FILTER($B$2:$B$10000,$B$2:$B$10000&lt;&gt;"")=VALUE(INDEX(IdClientes,MATCH(EYM2,Clientes,0))))</f>
        <v>#VALUE!</v>
      </c>
      <c r="EYN3" s="28" t="e" cm="1" vm="1">
        <f t="array" ref="EYN3">_xlfn._xlws.FILTER(Rutas,_xlfn._xlws.FILTER($B$2:$B$10000,$B$2:$B$10000&lt;&gt;"")=VALUE(INDEX(IdClientes,MATCH(EYN2,Clientes,0))))</f>
        <v>#VALUE!</v>
      </c>
      <c r="EYO3" s="28" t="e" cm="1" vm="1">
        <f t="array" ref="EYO3">_xlfn._xlws.FILTER(Rutas,_xlfn._xlws.FILTER($B$2:$B$10000,$B$2:$B$10000&lt;&gt;"")=VALUE(INDEX(IdClientes,MATCH(EYO2,Clientes,0))))</f>
        <v>#VALUE!</v>
      </c>
      <c r="EYP3" s="28" t="e" cm="1" vm="1">
        <f t="array" ref="EYP3">_xlfn._xlws.FILTER(Rutas,_xlfn._xlws.FILTER($B$2:$B$10000,$B$2:$B$10000&lt;&gt;"")=VALUE(INDEX(IdClientes,MATCH(EYP2,Clientes,0))))</f>
        <v>#VALUE!</v>
      </c>
      <c r="EYQ3" s="28" t="e" cm="1" vm="1">
        <f t="array" ref="EYQ3">_xlfn._xlws.FILTER(Rutas,_xlfn._xlws.FILTER($B$2:$B$10000,$B$2:$B$10000&lt;&gt;"")=VALUE(INDEX(IdClientes,MATCH(EYQ2,Clientes,0))))</f>
        <v>#VALUE!</v>
      </c>
      <c r="EYR3" s="28" t="e" cm="1" vm="1">
        <f t="array" ref="EYR3">_xlfn._xlws.FILTER(Rutas,_xlfn._xlws.FILTER($B$2:$B$10000,$B$2:$B$10000&lt;&gt;"")=VALUE(INDEX(IdClientes,MATCH(EYR2,Clientes,0))))</f>
        <v>#VALUE!</v>
      </c>
      <c r="EYS3" s="28" t="e" cm="1" vm="1">
        <f t="array" ref="EYS3">_xlfn._xlws.FILTER(Rutas,_xlfn._xlws.FILTER($B$2:$B$10000,$B$2:$B$10000&lt;&gt;"")=VALUE(INDEX(IdClientes,MATCH(EYS2,Clientes,0))))</f>
        <v>#VALUE!</v>
      </c>
      <c r="EYT3" s="28" t="e" cm="1" vm="1">
        <f t="array" ref="EYT3">_xlfn._xlws.FILTER(Rutas,_xlfn._xlws.FILTER($B$2:$B$10000,$B$2:$B$10000&lt;&gt;"")=VALUE(INDEX(IdClientes,MATCH(EYT2,Clientes,0))))</f>
        <v>#VALUE!</v>
      </c>
      <c r="EYU3" s="28" t="e" cm="1" vm="1">
        <f t="array" ref="EYU3">_xlfn._xlws.FILTER(Rutas,_xlfn._xlws.FILTER($B$2:$B$10000,$B$2:$B$10000&lt;&gt;"")=VALUE(INDEX(IdClientes,MATCH(EYU2,Clientes,0))))</f>
        <v>#VALUE!</v>
      </c>
      <c r="EYV3" s="28" t="e" cm="1" vm="1">
        <f t="array" ref="EYV3">_xlfn._xlws.FILTER(Rutas,_xlfn._xlws.FILTER($B$2:$B$10000,$B$2:$B$10000&lt;&gt;"")=VALUE(INDEX(IdClientes,MATCH(EYV2,Clientes,0))))</f>
        <v>#VALUE!</v>
      </c>
      <c r="EYW3" s="28" t="e" cm="1" vm="1">
        <f t="array" ref="EYW3">_xlfn._xlws.FILTER(Rutas,_xlfn._xlws.FILTER($B$2:$B$10000,$B$2:$B$10000&lt;&gt;"")=VALUE(INDEX(IdClientes,MATCH(EYW2,Clientes,0))))</f>
        <v>#VALUE!</v>
      </c>
      <c r="EYX3" s="28" t="e" cm="1" vm="1">
        <f t="array" ref="EYX3">_xlfn._xlws.FILTER(Rutas,_xlfn._xlws.FILTER($B$2:$B$10000,$B$2:$B$10000&lt;&gt;"")=VALUE(INDEX(IdClientes,MATCH(EYX2,Clientes,0))))</f>
        <v>#VALUE!</v>
      </c>
      <c r="EYY3" s="28" t="e" cm="1" vm="1">
        <f t="array" ref="EYY3">_xlfn._xlws.FILTER(Rutas,_xlfn._xlws.FILTER($B$2:$B$10000,$B$2:$B$10000&lt;&gt;"")=VALUE(INDEX(IdClientes,MATCH(EYY2,Clientes,0))))</f>
        <v>#VALUE!</v>
      </c>
      <c r="EYZ3" s="28" t="e" cm="1" vm="1">
        <f t="array" ref="EYZ3">_xlfn._xlws.FILTER(Rutas,_xlfn._xlws.FILTER($B$2:$B$10000,$B$2:$B$10000&lt;&gt;"")=VALUE(INDEX(IdClientes,MATCH(EYZ2,Clientes,0))))</f>
        <v>#VALUE!</v>
      </c>
      <c r="EZA3" s="28" t="e" cm="1" vm="1">
        <f t="array" ref="EZA3">_xlfn._xlws.FILTER(Rutas,_xlfn._xlws.FILTER($B$2:$B$10000,$B$2:$B$10000&lt;&gt;"")=VALUE(INDEX(IdClientes,MATCH(EZA2,Clientes,0))))</f>
        <v>#VALUE!</v>
      </c>
      <c r="EZB3" s="28" t="e" cm="1" vm="1">
        <f t="array" ref="EZB3">_xlfn._xlws.FILTER(Rutas,_xlfn._xlws.FILTER($B$2:$B$10000,$B$2:$B$10000&lt;&gt;"")=VALUE(INDEX(IdClientes,MATCH(EZB2,Clientes,0))))</f>
        <v>#VALUE!</v>
      </c>
      <c r="EZC3" s="28" t="e" cm="1" vm="1">
        <f t="array" ref="EZC3">_xlfn._xlws.FILTER(Rutas,_xlfn._xlws.FILTER($B$2:$B$10000,$B$2:$B$10000&lt;&gt;"")=VALUE(INDEX(IdClientes,MATCH(EZC2,Clientes,0))))</f>
        <v>#VALUE!</v>
      </c>
      <c r="EZD3" s="28" t="e" cm="1" vm="1">
        <f t="array" ref="EZD3">_xlfn._xlws.FILTER(Rutas,_xlfn._xlws.FILTER($B$2:$B$10000,$B$2:$B$10000&lt;&gt;"")=VALUE(INDEX(IdClientes,MATCH(EZD2,Clientes,0))))</f>
        <v>#VALUE!</v>
      </c>
      <c r="EZE3" s="28" t="e" cm="1" vm="1">
        <f t="array" ref="EZE3">_xlfn._xlws.FILTER(Rutas,_xlfn._xlws.FILTER($B$2:$B$10000,$B$2:$B$10000&lt;&gt;"")=VALUE(INDEX(IdClientes,MATCH(EZE2,Clientes,0))))</f>
        <v>#VALUE!</v>
      </c>
      <c r="EZF3" s="28" t="e" cm="1" vm="1">
        <f t="array" ref="EZF3">_xlfn._xlws.FILTER(Rutas,_xlfn._xlws.FILTER($B$2:$B$10000,$B$2:$B$10000&lt;&gt;"")=VALUE(INDEX(IdClientes,MATCH(EZF2,Clientes,0))))</f>
        <v>#VALUE!</v>
      </c>
      <c r="EZG3" s="28" t="e" cm="1" vm="1">
        <f t="array" ref="EZG3">_xlfn._xlws.FILTER(Rutas,_xlfn._xlws.FILTER($B$2:$B$10000,$B$2:$B$10000&lt;&gt;"")=VALUE(INDEX(IdClientes,MATCH(EZG2,Clientes,0))))</f>
        <v>#VALUE!</v>
      </c>
      <c r="EZH3" s="28" t="e" cm="1" vm="1">
        <f t="array" ref="EZH3">_xlfn._xlws.FILTER(Rutas,_xlfn._xlws.FILTER($B$2:$B$10000,$B$2:$B$10000&lt;&gt;"")=VALUE(INDEX(IdClientes,MATCH(EZH2,Clientes,0))))</f>
        <v>#VALUE!</v>
      </c>
      <c r="EZI3" s="28" t="e" cm="1" vm="1">
        <f t="array" ref="EZI3">_xlfn._xlws.FILTER(Rutas,_xlfn._xlws.FILTER($B$2:$B$10000,$B$2:$B$10000&lt;&gt;"")=VALUE(INDEX(IdClientes,MATCH(EZI2,Clientes,0))))</f>
        <v>#VALUE!</v>
      </c>
      <c r="EZJ3" s="28" t="e" cm="1" vm="1">
        <f t="array" ref="EZJ3">_xlfn._xlws.FILTER(Rutas,_xlfn._xlws.FILTER($B$2:$B$10000,$B$2:$B$10000&lt;&gt;"")=VALUE(INDEX(IdClientes,MATCH(EZJ2,Clientes,0))))</f>
        <v>#VALUE!</v>
      </c>
      <c r="EZK3" s="28" t="e" cm="1" vm="1">
        <f t="array" ref="EZK3">_xlfn._xlws.FILTER(Rutas,_xlfn._xlws.FILTER($B$2:$B$10000,$B$2:$B$10000&lt;&gt;"")=VALUE(INDEX(IdClientes,MATCH(EZK2,Clientes,0))))</f>
        <v>#VALUE!</v>
      </c>
      <c r="EZL3" s="28" t="e" cm="1" vm="1">
        <f t="array" ref="EZL3">_xlfn._xlws.FILTER(Rutas,_xlfn._xlws.FILTER($B$2:$B$10000,$B$2:$B$10000&lt;&gt;"")=VALUE(INDEX(IdClientes,MATCH(EZL2,Clientes,0))))</f>
        <v>#VALUE!</v>
      </c>
      <c r="EZM3" s="28" t="e" cm="1" vm="1">
        <f t="array" ref="EZM3">_xlfn._xlws.FILTER(Rutas,_xlfn._xlws.FILTER($B$2:$B$10000,$B$2:$B$10000&lt;&gt;"")=VALUE(INDEX(IdClientes,MATCH(EZM2,Clientes,0))))</f>
        <v>#VALUE!</v>
      </c>
      <c r="EZN3" s="28" t="e" cm="1" vm="1">
        <f t="array" ref="EZN3">_xlfn._xlws.FILTER(Rutas,_xlfn._xlws.FILTER($B$2:$B$10000,$B$2:$B$10000&lt;&gt;"")=VALUE(INDEX(IdClientes,MATCH(EZN2,Clientes,0))))</f>
        <v>#VALUE!</v>
      </c>
      <c r="EZO3" s="28" t="e" cm="1" vm="1">
        <f t="array" ref="EZO3">_xlfn._xlws.FILTER(Rutas,_xlfn._xlws.FILTER($B$2:$B$10000,$B$2:$B$10000&lt;&gt;"")=VALUE(INDEX(IdClientes,MATCH(EZO2,Clientes,0))))</f>
        <v>#VALUE!</v>
      </c>
      <c r="EZP3" s="28" t="e" cm="1" vm="1">
        <f t="array" ref="EZP3">_xlfn._xlws.FILTER(Rutas,_xlfn._xlws.FILTER($B$2:$B$10000,$B$2:$B$10000&lt;&gt;"")=VALUE(INDEX(IdClientes,MATCH(EZP2,Clientes,0))))</f>
        <v>#VALUE!</v>
      </c>
      <c r="EZQ3" s="28" t="e" cm="1" vm="1">
        <f t="array" ref="EZQ3">_xlfn._xlws.FILTER(Rutas,_xlfn._xlws.FILTER($B$2:$B$10000,$B$2:$B$10000&lt;&gt;"")=VALUE(INDEX(IdClientes,MATCH(EZQ2,Clientes,0))))</f>
        <v>#VALUE!</v>
      </c>
      <c r="EZR3" s="28" t="e" cm="1" vm="1">
        <f t="array" ref="EZR3">_xlfn._xlws.FILTER(Rutas,_xlfn._xlws.FILTER($B$2:$B$10000,$B$2:$B$10000&lt;&gt;"")=VALUE(INDEX(IdClientes,MATCH(EZR2,Clientes,0))))</f>
        <v>#VALUE!</v>
      </c>
      <c r="EZS3" s="28" t="e" cm="1" vm="1">
        <f t="array" ref="EZS3">_xlfn._xlws.FILTER(Rutas,_xlfn._xlws.FILTER($B$2:$B$10000,$B$2:$B$10000&lt;&gt;"")=VALUE(INDEX(IdClientes,MATCH(EZS2,Clientes,0))))</f>
        <v>#VALUE!</v>
      </c>
      <c r="EZT3" s="28" t="e" cm="1" vm="1">
        <f t="array" ref="EZT3">_xlfn._xlws.FILTER(Rutas,_xlfn._xlws.FILTER($B$2:$B$10000,$B$2:$B$10000&lt;&gt;"")=VALUE(INDEX(IdClientes,MATCH(EZT2,Clientes,0))))</f>
        <v>#VALUE!</v>
      </c>
      <c r="EZU3" s="28" t="e" cm="1" vm="1">
        <f t="array" ref="EZU3">_xlfn._xlws.FILTER(Rutas,_xlfn._xlws.FILTER($B$2:$B$10000,$B$2:$B$10000&lt;&gt;"")=VALUE(INDEX(IdClientes,MATCH(EZU2,Clientes,0))))</f>
        <v>#VALUE!</v>
      </c>
      <c r="EZV3" s="28" t="e" cm="1" vm="1">
        <f t="array" ref="EZV3">_xlfn._xlws.FILTER(Rutas,_xlfn._xlws.FILTER($B$2:$B$10000,$B$2:$B$10000&lt;&gt;"")=VALUE(INDEX(IdClientes,MATCH(EZV2,Clientes,0))))</f>
        <v>#VALUE!</v>
      </c>
      <c r="EZW3" s="28" t="e" cm="1" vm="1">
        <f t="array" ref="EZW3">_xlfn._xlws.FILTER(Rutas,_xlfn._xlws.FILTER($B$2:$B$10000,$B$2:$B$10000&lt;&gt;"")=VALUE(INDEX(IdClientes,MATCH(EZW2,Clientes,0))))</f>
        <v>#VALUE!</v>
      </c>
      <c r="EZX3" s="28" t="e" cm="1" vm="1">
        <f t="array" ref="EZX3">_xlfn._xlws.FILTER(Rutas,_xlfn._xlws.FILTER($B$2:$B$10000,$B$2:$B$10000&lt;&gt;"")=VALUE(INDEX(IdClientes,MATCH(EZX2,Clientes,0))))</f>
        <v>#VALUE!</v>
      </c>
      <c r="EZY3" s="28" t="e" cm="1" vm="1">
        <f t="array" ref="EZY3">_xlfn._xlws.FILTER(Rutas,_xlfn._xlws.FILTER($B$2:$B$10000,$B$2:$B$10000&lt;&gt;"")=VALUE(INDEX(IdClientes,MATCH(EZY2,Clientes,0))))</f>
        <v>#VALUE!</v>
      </c>
      <c r="EZZ3" s="28" t="e" cm="1" vm="1">
        <f t="array" ref="EZZ3">_xlfn._xlws.FILTER(Rutas,_xlfn._xlws.FILTER($B$2:$B$10000,$B$2:$B$10000&lt;&gt;"")=VALUE(INDEX(IdClientes,MATCH(EZZ2,Clientes,0))))</f>
        <v>#VALUE!</v>
      </c>
      <c r="FAA3" s="28" t="e" cm="1" vm="1">
        <f t="array" ref="FAA3">_xlfn._xlws.FILTER(Rutas,_xlfn._xlws.FILTER($B$2:$B$10000,$B$2:$B$10000&lt;&gt;"")=VALUE(INDEX(IdClientes,MATCH(FAA2,Clientes,0))))</f>
        <v>#VALUE!</v>
      </c>
      <c r="FAB3" s="28" t="e" cm="1" vm="1">
        <f t="array" ref="FAB3">_xlfn._xlws.FILTER(Rutas,_xlfn._xlws.FILTER($B$2:$B$10000,$B$2:$B$10000&lt;&gt;"")=VALUE(INDEX(IdClientes,MATCH(FAB2,Clientes,0))))</f>
        <v>#VALUE!</v>
      </c>
      <c r="FAC3" s="28" t="e" cm="1" vm="1">
        <f t="array" ref="FAC3">_xlfn._xlws.FILTER(Rutas,_xlfn._xlws.FILTER($B$2:$B$10000,$B$2:$B$10000&lt;&gt;"")=VALUE(INDEX(IdClientes,MATCH(FAC2,Clientes,0))))</f>
        <v>#VALUE!</v>
      </c>
      <c r="FAD3" s="28" t="e" cm="1" vm="1">
        <f t="array" ref="FAD3">_xlfn._xlws.FILTER(Rutas,_xlfn._xlws.FILTER($B$2:$B$10000,$B$2:$B$10000&lt;&gt;"")=VALUE(INDEX(IdClientes,MATCH(FAD2,Clientes,0))))</f>
        <v>#VALUE!</v>
      </c>
      <c r="FAE3" s="28" t="e" cm="1" vm="1">
        <f t="array" ref="FAE3">_xlfn._xlws.FILTER(Rutas,_xlfn._xlws.FILTER($B$2:$B$10000,$B$2:$B$10000&lt;&gt;"")=VALUE(INDEX(IdClientes,MATCH(FAE2,Clientes,0))))</f>
        <v>#VALUE!</v>
      </c>
      <c r="FAF3" s="28" t="e" cm="1" vm="1">
        <f t="array" ref="FAF3">_xlfn._xlws.FILTER(Rutas,_xlfn._xlws.FILTER($B$2:$B$10000,$B$2:$B$10000&lt;&gt;"")=VALUE(INDEX(IdClientes,MATCH(FAF2,Clientes,0))))</f>
        <v>#VALUE!</v>
      </c>
      <c r="FAG3" s="28" t="e" cm="1" vm="1">
        <f t="array" ref="FAG3">_xlfn._xlws.FILTER(Rutas,_xlfn._xlws.FILTER($B$2:$B$10000,$B$2:$B$10000&lt;&gt;"")=VALUE(INDEX(IdClientes,MATCH(FAG2,Clientes,0))))</f>
        <v>#VALUE!</v>
      </c>
      <c r="FAH3" s="28" t="e" cm="1" vm="1">
        <f t="array" ref="FAH3">_xlfn._xlws.FILTER(Rutas,_xlfn._xlws.FILTER($B$2:$B$10000,$B$2:$B$10000&lt;&gt;"")=VALUE(INDEX(IdClientes,MATCH(FAH2,Clientes,0))))</f>
        <v>#VALUE!</v>
      </c>
      <c r="FAI3" s="28" t="e" cm="1" vm="1">
        <f t="array" ref="FAI3">_xlfn._xlws.FILTER(Rutas,_xlfn._xlws.FILTER($B$2:$B$10000,$B$2:$B$10000&lt;&gt;"")=VALUE(INDEX(IdClientes,MATCH(FAI2,Clientes,0))))</f>
        <v>#VALUE!</v>
      </c>
      <c r="FAJ3" s="28" t="e" cm="1" vm="1">
        <f t="array" ref="FAJ3">_xlfn._xlws.FILTER(Rutas,_xlfn._xlws.FILTER($B$2:$B$10000,$B$2:$B$10000&lt;&gt;"")=VALUE(INDEX(IdClientes,MATCH(FAJ2,Clientes,0))))</f>
        <v>#VALUE!</v>
      </c>
      <c r="FAK3" s="28" t="e" cm="1" vm="1">
        <f t="array" ref="FAK3">_xlfn._xlws.FILTER(Rutas,_xlfn._xlws.FILTER($B$2:$B$10000,$B$2:$B$10000&lt;&gt;"")=VALUE(INDEX(IdClientes,MATCH(FAK2,Clientes,0))))</f>
        <v>#VALUE!</v>
      </c>
      <c r="FAL3" s="28" t="e" cm="1" vm="1">
        <f t="array" ref="FAL3">_xlfn._xlws.FILTER(Rutas,_xlfn._xlws.FILTER($B$2:$B$10000,$B$2:$B$10000&lt;&gt;"")=VALUE(INDEX(IdClientes,MATCH(FAL2,Clientes,0))))</f>
        <v>#VALUE!</v>
      </c>
      <c r="FAM3" s="28" t="e" cm="1" vm="1">
        <f t="array" ref="FAM3">_xlfn._xlws.FILTER(Rutas,_xlfn._xlws.FILTER($B$2:$B$10000,$B$2:$B$10000&lt;&gt;"")=VALUE(INDEX(IdClientes,MATCH(FAM2,Clientes,0))))</f>
        <v>#VALUE!</v>
      </c>
      <c r="FAN3" s="28" t="e" cm="1" vm="1">
        <f t="array" ref="FAN3">_xlfn._xlws.FILTER(Rutas,_xlfn._xlws.FILTER($B$2:$B$10000,$B$2:$B$10000&lt;&gt;"")=VALUE(INDEX(IdClientes,MATCH(FAN2,Clientes,0))))</f>
        <v>#VALUE!</v>
      </c>
      <c r="FAO3" s="28" t="e" cm="1" vm="1">
        <f t="array" ref="FAO3">_xlfn._xlws.FILTER(Rutas,_xlfn._xlws.FILTER($B$2:$B$10000,$B$2:$B$10000&lt;&gt;"")=VALUE(INDEX(IdClientes,MATCH(FAO2,Clientes,0))))</f>
        <v>#VALUE!</v>
      </c>
      <c r="FAP3" s="28" t="e" cm="1" vm="1">
        <f t="array" ref="FAP3">_xlfn._xlws.FILTER(Rutas,_xlfn._xlws.FILTER($B$2:$B$10000,$B$2:$B$10000&lt;&gt;"")=VALUE(INDEX(IdClientes,MATCH(FAP2,Clientes,0))))</f>
        <v>#VALUE!</v>
      </c>
      <c r="FAQ3" s="28" t="e" cm="1" vm="1">
        <f t="array" ref="FAQ3">_xlfn._xlws.FILTER(Rutas,_xlfn._xlws.FILTER($B$2:$B$10000,$B$2:$B$10000&lt;&gt;"")=VALUE(INDEX(IdClientes,MATCH(FAQ2,Clientes,0))))</f>
        <v>#VALUE!</v>
      </c>
      <c r="FAR3" s="28" t="e" cm="1" vm="1">
        <f t="array" ref="FAR3">_xlfn._xlws.FILTER(Rutas,_xlfn._xlws.FILTER($B$2:$B$10000,$B$2:$B$10000&lt;&gt;"")=VALUE(INDEX(IdClientes,MATCH(FAR2,Clientes,0))))</f>
        <v>#VALUE!</v>
      </c>
      <c r="FAS3" s="28" t="e" cm="1" vm="1">
        <f t="array" ref="FAS3">_xlfn._xlws.FILTER(Rutas,_xlfn._xlws.FILTER($B$2:$B$10000,$B$2:$B$10000&lt;&gt;"")=VALUE(INDEX(IdClientes,MATCH(FAS2,Clientes,0))))</f>
        <v>#VALUE!</v>
      </c>
      <c r="FAT3" s="28" t="e" cm="1" vm="1">
        <f t="array" ref="FAT3">_xlfn._xlws.FILTER(Rutas,_xlfn._xlws.FILTER($B$2:$B$10000,$B$2:$B$10000&lt;&gt;"")=VALUE(INDEX(IdClientes,MATCH(FAT2,Clientes,0))))</f>
        <v>#VALUE!</v>
      </c>
      <c r="FAU3" s="28" t="e" cm="1" vm="1">
        <f t="array" ref="FAU3">_xlfn._xlws.FILTER(Rutas,_xlfn._xlws.FILTER($B$2:$B$10000,$B$2:$B$10000&lt;&gt;"")=VALUE(INDEX(IdClientes,MATCH(FAU2,Clientes,0))))</f>
        <v>#VALUE!</v>
      </c>
      <c r="FAV3" s="28" t="e" cm="1" vm="1">
        <f t="array" ref="FAV3">_xlfn._xlws.FILTER(Rutas,_xlfn._xlws.FILTER($B$2:$B$10000,$B$2:$B$10000&lt;&gt;"")=VALUE(INDEX(IdClientes,MATCH(FAV2,Clientes,0))))</f>
        <v>#VALUE!</v>
      </c>
      <c r="FAW3" s="28" t="e" cm="1" vm="1">
        <f t="array" ref="FAW3">_xlfn._xlws.FILTER(Rutas,_xlfn._xlws.FILTER($B$2:$B$10000,$B$2:$B$10000&lt;&gt;"")=VALUE(INDEX(IdClientes,MATCH(FAW2,Clientes,0))))</f>
        <v>#VALUE!</v>
      </c>
      <c r="FAX3" s="28" t="e" cm="1" vm="1">
        <f t="array" ref="FAX3">_xlfn._xlws.FILTER(Rutas,_xlfn._xlws.FILTER($B$2:$B$10000,$B$2:$B$10000&lt;&gt;"")=VALUE(INDEX(IdClientes,MATCH(FAX2,Clientes,0))))</f>
        <v>#VALUE!</v>
      </c>
      <c r="FAY3" s="28" t="e" cm="1" vm="1">
        <f t="array" ref="FAY3">_xlfn._xlws.FILTER(Rutas,_xlfn._xlws.FILTER($B$2:$B$10000,$B$2:$B$10000&lt;&gt;"")=VALUE(INDEX(IdClientes,MATCH(FAY2,Clientes,0))))</f>
        <v>#VALUE!</v>
      </c>
      <c r="FAZ3" s="28" t="e" cm="1" vm="1">
        <f t="array" ref="FAZ3">_xlfn._xlws.FILTER(Rutas,_xlfn._xlws.FILTER($B$2:$B$10000,$B$2:$B$10000&lt;&gt;"")=VALUE(INDEX(IdClientes,MATCH(FAZ2,Clientes,0))))</f>
        <v>#VALUE!</v>
      </c>
      <c r="FBA3" s="28" t="e" cm="1" vm="1">
        <f t="array" ref="FBA3">_xlfn._xlws.FILTER(Rutas,_xlfn._xlws.FILTER($B$2:$B$10000,$B$2:$B$10000&lt;&gt;"")=VALUE(INDEX(IdClientes,MATCH(FBA2,Clientes,0))))</f>
        <v>#VALUE!</v>
      </c>
      <c r="FBB3" s="28" t="e" cm="1" vm="1">
        <f t="array" ref="FBB3">_xlfn._xlws.FILTER(Rutas,_xlfn._xlws.FILTER($B$2:$B$10000,$B$2:$B$10000&lt;&gt;"")=VALUE(INDEX(IdClientes,MATCH(FBB2,Clientes,0))))</f>
        <v>#VALUE!</v>
      </c>
      <c r="FBC3" s="28" t="e" cm="1" vm="1">
        <f t="array" ref="FBC3">_xlfn._xlws.FILTER(Rutas,_xlfn._xlws.FILTER($B$2:$B$10000,$B$2:$B$10000&lt;&gt;"")=VALUE(INDEX(IdClientes,MATCH(FBC2,Clientes,0))))</f>
        <v>#VALUE!</v>
      </c>
      <c r="FBD3" s="28" t="e" cm="1" vm="1">
        <f t="array" ref="FBD3">_xlfn._xlws.FILTER(Rutas,_xlfn._xlws.FILTER($B$2:$B$10000,$B$2:$B$10000&lt;&gt;"")=VALUE(INDEX(IdClientes,MATCH(FBD2,Clientes,0))))</f>
        <v>#VALUE!</v>
      </c>
      <c r="FBE3" s="28" t="e" cm="1" vm="1">
        <f t="array" ref="FBE3">_xlfn._xlws.FILTER(Rutas,_xlfn._xlws.FILTER($B$2:$B$10000,$B$2:$B$10000&lt;&gt;"")=VALUE(INDEX(IdClientes,MATCH(FBE2,Clientes,0))))</f>
        <v>#VALUE!</v>
      </c>
      <c r="FBF3" s="28" t="e" cm="1" vm="1">
        <f t="array" ref="FBF3">_xlfn._xlws.FILTER(Rutas,_xlfn._xlws.FILTER($B$2:$B$10000,$B$2:$B$10000&lt;&gt;"")=VALUE(INDEX(IdClientes,MATCH(FBF2,Clientes,0))))</f>
        <v>#VALUE!</v>
      </c>
      <c r="FBG3" s="28" t="e" cm="1" vm="1">
        <f t="array" ref="FBG3">_xlfn._xlws.FILTER(Rutas,_xlfn._xlws.FILTER($B$2:$B$10000,$B$2:$B$10000&lt;&gt;"")=VALUE(INDEX(IdClientes,MATCH(FBG2,Clientes,0))))</f>
        <v>#VALUE!</v>
      </c>
      <c r="FBH3" s="28" t="e" cm="1" vm="1">
        <f t="array" ref="FBH3">_xlfn._xlws.FILTER(Rutas,_xlfn._xlws.FILTER($B$2:$B$10000,$B$2:$B$10000&lt;&gt;"")=VALUE(INDEX(IdClientes,MATCH(FBH2,Clientes,0))))</f>
        <v>#VALUE!</v>
      </c>
      <c r="FBI3" s="28" t="e" cm="1" vm="1">
        <f t="array" ref="FBI3">_xlfn._xlws.FILTER(Rutas,_xlfn._xlws.FILTER($B$2:$B$10000,$B$2:$B$10000&lt;&gt;"")=VALUE(INDEX(IdClientes,MATCH(FBI2,Clientes,0))))</f>
        <v>#VALUE!</v>
      </c>
      <c r="FBJ3" s="28" t="e" cm="1" vm="1">
        <f t="array" ref="FBJ3">_xlfn._xlws.FILTER(Rutas,_xlfn._xlws.FILTER($B$2:$B$10000,$B$2:$B$10000&lt;&gt;"")=VALUE(INDEX(IdClientes,MATCH(FBJ2,Clientes,0))))</f>
        <v>#VALUE!</v>
      </c>
      <c r="FBK3" s="28" t="e" cm="1" vm="1">
        <f t="array" ref="FBK3">_xlfn._xlws.FILTER(Rutas,_xlfn._xlws.FILTER($B$2:$B$10000,$B$2:$B$10000&lt;&gt;"")=VALUE(INDEX(IdClientes,MATCH(FBK2,Clientes,0))))</f>
        <v>#VALUE!</v>
      </c>
      <c r="FBL3" s="28" t="e" cm="1" vm="1">
        <f t="array" ref="FBL3">_xlfn._xlws.FILTER(Rutas,_xlfn._xlws.FILTER($B$2:$B$10000,$B$2:$B$10000&lt;&gt;"")=VALUE(INDEX(IdClientes,MATCH(FBL2,Clientes,0))))</f>
        <v>#VALUE!</v>
      </c>
      <c r="FBM3" s="28" t="e" cm="1" vm="1">
        <f t="array" ref="FBM3">_xlfn._xlws.FILTER(Rutas,_xlfn._xlws.FILTER($B$2:$B$10000,$B$2:$B$10000&lt;&gt;"")=VALUE(INDEX(IdClientes,MATCH(FBM2,Clientes,0))))</f>
        <v>#VALUE!</v>
      </c>
      <c r="FBN3" s="28" t="e" cm="1" vm="1">
        <f t="array" ref="FBN3">_xlfn._xlws.FILTER(Rutas,_xlfn._xlws.FILTER($B$2:$B$10000,$B$2:$B$10000&lt;&gt;"")=VALUE(INDEX(IdClientes,MATCH(FBN2,Clientes,0))))</f>
        <v>#VALUE!</v>
      </c>
      <c r="FBO3" s="28" t="e" cm="1" vm="1">
        <f t="array" ref="FBO3">_xlfn._xlws.FILTER(Rutas,_xlfn._xlws.FILTER($B$2:$B$10000,$B$2:$B$10000&lt;&gt;"")=VALUE(INDEX(IdClientes,MATCH(FBO2,Clientes,0))))</f>
        <v>#VALUE!</v>
      </c>
      <c r="FBP3" s="28" t="e" cm="1" vm="1">
        <f t="array" ref="FBP3">_xlfn._xlws.FILTER(Rutas,_xlfn._xlws.FILTER($B$2:$B$10000,$B$2:$B$10000&lt;&gt;"")=VALUE(INDEX(IdClientes,MATCH(FBP2,Clientes,0))))</f>
        <v>#VALUE!</v>
      </c>
      <c r="FBQ3" s="28" t="e" cm="1" vm="1">
        <f t="array" ref="FBQ3">_xlfn._xlws.FILTER(Rutas,_xlfn._xlws.FILTER($B$2:$B$10000,$B$2:$B$10000&lt;&gt;"")=VALUE(INDEX(IdClientes,MATCH(FBQ2,Clientes,0))))</f>
        <v>#VALUE!</v>
      </c>
      <c r="FBR3" s="28" t="e" cm="1" vm="1">
        <f t="array" ref="FBR3">_xlfn._xlws.FILTER(Rutas,_xlfn._xlws.FILTER($B$2:$B$10000,$B$2:$B$10000&lt;&gt;"")=VALUE(INDEX(IdClientes,MATCH(FBR2,Clientes,0))))</f>
        <v>#VALUE!</v>
      </c>
      <c r="FBS3" s="28" t="e" cm="1" vm="1">
        <f t="array" ref="FBS3">_xlfn._xlws.FILTER(Rutas,_xlfn._xlws.FILTER($B$2:$B$10000,$B$2:$B$10000&lt;&gt;"")=VALUE(INDEX(IdClientes,MATCH(FBS2,Clientes,0))))</f>
        <v>#VALUE!</v>
      </c>
      <c r="FBT3" s="28" t="e" cm="1" vm="1">
        <f t="array" ref="FBT3">_xlfn._xlws.FILTER(Rutas,_xlfn._xlws.FILTER($B$2:$B$10000,$B$2:$B$10000&lt;&gt;"")=VALUE(INDEX(IdClientes,MATCH(FBT2,Clientes,0))))</f>
        <v>#VALUE!</v>
      </c>
      <c r="FBU3" s="28" t="e" cm="1" vm="1">
        <f t="array" ref="FBU3">_xlfn._xlws.FILTER(Rutas,_xlfn._xlws.FILTER($B$2:$B$10000,$B$2:$B$10000&lt;&gt;"")=VALUE(INDEX(IdClientes,MATCH(FBU2,Clientes,0))))</f>
        <v>#VALUE!</v>
      </c>
      <c r="FBV3" s="28" t="e" cm="1" vm="1">
        <f t="array" ref="FBV3">_xlfn._xlws.FILTER(Rutas,_xlfn._xlws.FILTER($B$2:$B$10000,$B$2:$B$10000&lt;&gt;"")=VALUE(INDEX(IdClientes,MATCH(FBV2,Clientes,0))))</f>
        <v>#VALUE!</v>
      </c>
      <c r="FBW3" s="28" t="e" cm="1" vm="1">
        <f t="array" ref="FBW3">_xlfn._xlws.FILTER(Rutas,_xlfn._xlws.FILTER($B$2:$B$10000,$B$2:$B$10000&lt;&gt;"")=VALUE(INDEX(IdClientes,MATCH(FBW2,Clientes,0))))</f>
        <v>#VALUE!</v>
      </c>
      <c r="FBX3" s="28" t="e" cm="1" vm="1">
        <f t="array" ref="FBX3">_xlfn._xlws.FILTER(Rutas,_xlfn._xlws.FILTER($B$2:$B$10000,$B$2:$B$10000&lt;&gt;"")=VALUE(INDEX(IdClientes,MATCH(FBX2,Clientes,0))))</f>
        <v>#VALUE!</v>
      </c>
      <c r="FBY3" s="28" t="e" cm="1" vm="1">
        <f t="array" ref="FBY3">_xlfn._xlws.FILTER(Rutas,_xlfn._xlws.FILTER($B$2:$B$10000,$B$2:$B$10000&lt;&gt;"")=VALUE(INDEX(IdClientes,MATCH(FBY2,Clientes,0))))</f>
        <v>#VALUE!</v>
      </c>
      <c r="FBZ3" s="28" t="e" cm="1" vm="1">
        <f t="array" ref="FBZ3">_xlfn._xlws.FILTER(Rutas,_xlfn._xlws.FILTER($B$2:$B$10000,$B$2:$B$10000&lt;&gt;"")=VALUE(INDEX(IdClientes,MATCH(FBZ2,Clientes,0))))</f>
        <v>#VALUE!</v>
      </c>
      <c r="FCA3" s="28" t="e" cm="1" vm="1">
        <f t="array" ref="FCA3">_xlfn._xlws.FILTER(Rutas,_xlfn._xlws.FILTER($B$2:$B$10000,$B$2:$B$10000&lt;&gt;"")=VALUE(INDEX(IdClientes,MATCH(FCA2,Clientes,0))))</f>
        <v>#VALUE!</v>
      </c>
      <c r="FCB3" s="28" t="e" cm="1" vm="1">
        <f t="array" ref="FCB3">_xlfn._xlws.FILTER(Rutas,_xlfn._xlws.FILTER($B$2:$B$10000,$B$2:$B$10000&lt;&gt;"")=VALUE(INDEX(IdClientes,MATCH(FCB2,Clientes,0))))</f>
        <v>#VALUE!</v>
      </c>
      <c r="FCC3" s="28" t="e" cm="1" vm="1">
        <f t="array" ref="FCC3">_xlfn._xlws.FILTER(Rutas,_xlfn._xlws.FILTER($B$2:$B$10000,$B$2:$B$10000&lt;&gt;"")=VALUE(INDEX(IdClientes,MATCH(FCC2,Clientes,0))))</f>
        <v>#VALUE!</v>
      </c>
      <c r="FCD3" s="28" t="e" cm="1" vm="1">
        <f t="array" ref="FCD3">_xlfn._xlws.FILTER(Rutas,_xlfn._xlws.FILTER($B$2:$B$10000,$B$2:$B$10000&lt;&gt;"")=VALUE(INDEX(IdClientes,MATCH(FCD2,Clientes,0))))</f>
        <v>#VALUE!</v>
      </c>
      <c r="FCE3" s="28" t="e" cm="1" vm="1">
        <f t="array" ref="FCE3">_xlfn._xlws.FILTER(Rutas,_xlfn._xlws.FILTER($B$2:$B$10000,$B$2:$B$10000&lt;&gt;"")=VALUE(INDEX(IdClientes,MATCH(FCE2,Clientes,0))))</f>
        <v>#VALUE!</v>
      </c>
      <c r="FCF3" s="28" t="e" cm="1" vm="1">
        <f t="array" ref="FCF3">_xlfn._xlws.FILTER(Rutas,_xlfn._xlws.FILTER($B$2:$B$10000,$B$2:$B$10000&lt;&gt;"")=VALUE(INDEX(IdClientes,MATCH(FCF2,Clientes,0))))</f>
        <v>#VALUE!</v>
      </c>
      <c r="FCG3" s="28" t="e" cm="1" vm="1">
        <f t="array" ref="FCG3">_xlfn._xlws.FILTER(Rutas,_xlfn._xlws.FILTER($B$2:$B$10000,$B$2:$B$10000&lt;&gt;"")=VALUE(INDEX(IdClientes,MATCH(FCG2,Clientes,0))))</f>
        <v>#VALUE!</v>
      </c>
      <c r="FCH3" s="28" t="e" cm="1" vm="1">
        <f t="array" ref="FCH3">_xlfn._xlws.FILTER(Rutas,_xlfn._xlws.FILTER($B$2:$B$10000,$B$2:$B$10000&lt;&gt;"")=VALUE(INDEX(IdClientes,MATCH(FCH2,Clientes,0))))</f>
        <v>#VALUE!</v>
      </c>
      <c r="FCI3" s="28" t="e" cm="1" vm="1">
        <f t="array" ref="FCI3">_xlfn._xlws.FILTER(Rutas,_xlfn._xlws.FILTER($B$2:$B$10000,$B$2:$B$10000&lt;&gt;"")=VALUE(INDEX(IdClientes,MATCH(FCI2,Clientes,0))))</f>
        <v>#VALUE!</v>
      </c>
      <c r="FCJ3" s="28" t="e" cm="1" vm="1">
        <f t="array" ref="FCJ3">_xlfn._xlws.FILTER(Rutas,_xlfn._xlws.FILTER($B$2:$B$10000,$B$2:$B$10000&lt;&gt;"")=VALUE(INDEX(IdClientes,MATCH(FCJ2,Clientes,0))))</f>
        <v>#VALUE!</v>
      </c>
      <c r="FCK3" s="28" t="e" cm="1" vm="1">
        <f t="array" ref="FCK3">_xlfn._xlws.FILTER(Rutas,_xlfn._xlws.FILTER($B$2:$B$10000,$B$2:$B$10000&lt;&gt;"")=VALUE(INDEX(IdClientes,MATCH(FCK2,Clientes,0))))</f>
        <v>#VALUE!</v>
      </c>
      <c r="FCL3" s="28" t="e" cm="1" vm="1">
        <f t="array" ref="FCL3">_xlfn._xlws.FILTER(Rutas,_xlfn._xlws.FILTER($B$2:$B$10000,$B$2:$B$10000&lt;&gt;"")=VALUE(INDEX(IdClientes,MATCH(FCL2,Clientes,0))))</f>
        <v>#VALUE!</v>
      </c>
      <c r="FCM3" s="28" t="e" cm="1" vm="1">
        <f t="array" ref="FCM3">_xlfn._xlws.FILTER(Rutas,_xlfn._xlws.FILTER($B$2:$B$10000,$B$2:$B$10000&lt;&gt;"")=VALUE(INDEX(IdClientes,MATCH(FCM2,Clientes,0))))</f>
        <v>#VALUE!</v>
      </c>
      <c r="FCN3" s="28" t="e" cm="1" vm="1">
        <f t="array" ref="FCN3">_xlfn._xlws.FILTER(Rutas,_xlfn._xlws.FILTER($B$2:$B$10000,$B$2:$B$10000&lt;&gt;"")=VALUE(INDEX(IdClientes,MATCH(FCN2,Clientes,0))))</f>
        <v>#VALUE!</v>
      </c>
      <c r="FCO3" s="28" t="e" cm="1" vm="1">
        <f t="array" ref="FCO3">_xlfn._xlws.FILTER(Rutas,_xlfn._xlws.FILTER($B$2:$B$10000,$B$2:$B$10000&lt;&gt;"")=VALUE(INDEX(IdClientes,MATCH(FCO2,Clientes,0))))</f>
        <v>#VALUE!</v>
      </c>
      <c r="FCP3" s="28" t="e" cm="1" vm="1">
        <f t="array" ref="FCP3">_xlfn._xlws.FILTER(Rutas,_xlfn._xlws.FILTER($B$2:$B$10000,$B$2:$B$10000&lt;&gt;"")=VALUE(INDEX(IdClientes,MATCH(FCP2,Clientes,0))))</f>
        <v>#VALUE!</v>
      </c>
      <c r="FCQ3" s="28" t="e" cm="1" vm="1">
        <f t="array" ref="FCQ3">_xlfn._xlws.FILTER(Rutas,_xlfn._xlws.FILTER($B$2:$B$10000,$B$2:$B$10000&lt;&gt;"")=VALUE(INDEX(IdClientes,MATCH(FCQ2,Clientes,0))))</f>
        <v>#VALUE!</v>
      </c>
      <c r="FCR3" s="28" t="e" cm="1" vm="1">
        <f t="array" ref="FCR3">_xlfn._xlws.FILTER(Rutas,_xlfn._xlws.FILTER($B$2:$B$10000,$B$2:$B$10000&lt;&gt;"")=VALUE(INDEX(IdClientes,MATCH(FCR2,Clientes,0))))</f>
        <v>#VALUE!</v>
      </c>
      <c r="FCS3" s="28" t="e" cm="1" vm="1">
        <f t="array" ref="FCS3">_xlfn._xlws.FILTER(Rutas,_xlfn._xlws.FILTER($B$2:$B$10000,$B$2:$B$10000&lt;&gt;"")=VALUE(INDEX(IdClientes,MATCH(FCS2,Clientes,0))))</f>
        <v>#VALUE!</v>
      </c>
      <c r="FCT3" s="28" t="e" cm="1" vm="1">
        <f t="array" ref="FCT3">_xlfn._xlws.FILTER(Rutas,_xlfn._xlws.FILTER($B$2:$B$10000,$B$2:$B$10000&lt;&gt;"")=VALUE(INDEX(IdClientes,MATCH(FCT2,Clientes,0))))</f>
        <v>#VALUE!</v>
      </c>
      <c r="FCU3" s="28" t="e" cm="1" vm="1">
        <f t="array" ref="FCU3">_xlfn._xlws.FILTER(Rutas,_xlfn._xlws.FILTER($B$2:$B$10000,$B$2:$B$10000&lt;&gt;"")=VALUE(INDEX(IdClientes,MATCH(FCU2,Clientes,0))))</f>
        <v>#VALUE!</v>
      </c>
      <c r="FCV3" s="28" t="e" cm="1" vm="1">
        <f t="array" ref="FCV3">_xlfn._xlws.FILTER(Rutas,_xlfn._xlws.FILTER($B$2:$B$10000,$B$2:$B$10000&lt;&gt;"")=VALUE(INDEX(IdClientes,MATCH(FCV2,Clientes,0))))</f>
        <v>#VALUE!</v>
      </c>
      <c r="FCW3" s="28" t="e" cm="1" vm="1">
        <f t="array" ref="FCW3">_xlfn._xlws.FILTER(Rutas,_xlfn._xlws.FILTER($B$2:$B$10000,$B$2:$B$10000&lt;&gt;"")=VALUE(INDEX(IdClientes,MATCH(FCW2,Clientes,0))))</f>
        <v>#VALUE!</v>
      </c>
      <c r="FCX3" s="28" t="e" cm="1" vm="1">
        <f t="array" ref="FCX3">_xlfn._xlws.FILTER(Rutas,_xlfn._xlws.FILTER($B$2:$B$10000,$B$2:$B$10000&lt;&gt;"")=VALUE(INDEX(IdClientes,MATCH(FCX2,Clientes,0))))</f>
        <v>#VALUE!</v>
      </c>
      <c r="FCY3" s="28" t="e" cm="1" vm="1">
        <f t="array" ref="FCY3">_xlfn._xlws.FILTER(Rutas,_xlfn._xlws.FILTER($B$2:$B$10000,$B$2:$B$10000&lt;&gt;"")=VALUE(INDEX(IdClientes,MATCH(FCY2,Clientes,0))))</f>
        <v>#VALUE!</v>
      </c>
      <c r="FCZ3" s="28" t="e" cm="1" vm="1">
        <f t="array" ref="FCZ3">_xlfn._xlws.FILTER(Rutas,_xlfn._xlws.FILTER($B$2:$B$10000,$B$2:$B$10000&lt;&gt;"")=VALUE(INDEX(IdClientes,MATCH(FCZ2,Clientes,0))))</f>
        <v>#VALUE!</v>
      </c>
      <c r="FDA3" s="28" t="e" cm="1" vm="1">
        <f t="array" ref="FDA3">_xlfn._xlws.FILTER(Rutas,_xlfn._xlws.FILTER($B$2:$B$10000,$B$2:$B$10000&lt;&gt;"")=VALUE(INDEX(IdClientes,MATCH(FDA2,Clientes,0))))</f>
        <v>#VALUE!</v>
      </c>
      <c r="FDB3" s="28" t="e" cm="1" vm="1">
        <f t="array" ref="FDB3">_xlfn._xlws.FILTER(Rutas,_xlfn._xlws.FILTER($B$2:$B$10000,$B$2:$B$10000&lt;&gt;"")=VALUE(INDEX(IdClientes,MATCH(FDB2,Clientes,0))))</f>
        <v>#VALUE!</v>
      </c>
      <c r="FDC3" s="28" t="e" cm="1" vm="1">
        <f t="array" ref="FDC3">_xlfn._xlws.FILTER(Rutas,_xlfn._xlws.FILTER($B$2:$B$10000,$B$2:$B$10000&lt;&gt;"")=VALUE(INDEX(IdClientes,MATCH(FDC2,Clientes,0))))</f>
        <v>#VALUE!</v>
      </c>
      <c r="FDD3" s="28" t="e" cm="1" vm="1">
        <f t="array" ref="FDD3">_xlfn._xlws.FILTER(Rutas,_xlfn._xlws.FILTER($B$2:$B$10000,$B$2:$B$10000&lt;&gt;"")=VALUE(INDEX(IdClientes,MATCH(FDD2,Clientes,0))))</f>
        <v>#VALUE!</v>
      </c>
      <c r="FDE3" s="28" t="e" cm="1" vm="1">
        <f t="array" ref="FDE3">_xlfn._xlws.FILTER(Rutas,_xlfn._xlws.FILTER($B$2:$B$10000,$B$2:$B$10000&lt;&gt;"")=VALUE(INDEX(IdClientes,MATCH(FDE2,Clientes,0))))</f>
        <v>#VALUE!</v>
      </c>
      <c r="FDF3" s="28" t="e" cm="1" vm="1">
        <f t="array" ref="FDF3">_xlfn._xlws.FILTER(Rutas,_xlfn._xlws.FILTER($B$2:$B$10000,$B$2:$B$10000&lt;&gt;"")=VALUE(INDEX(IdClientes,MATCH(FDF2,Clientes,0))))</f>
        <v>#VALUE!</v>
      </c>
      <c r="FDG3" s="28" t="e" cm="1" vm="1">
        <f t="array" ref="FDG3">_xlfn._xlws.FILTER(Rutas,_xlfn._xlws.FILTER($B$2:$B$10000,$B$2:$B$10000&lt;&gt;"")=VALUE(INDEX(IdClientes,MATCH(FDG2,Clientes,0))))</f>
        <v>#VALUE!</v>
      </c>
      <c r="FDH3" s="28" t="e" cm="1" vm="1">
        <f t="array" ref="FDH3">_xlfn._xlws.FILTER(Rutas,_xlfn._xlws.FILTER($B$2:$B$10000,$B$2:$B$10000&lt;&gt;"")=VALUE(INDEX(IdClientes,MATCH(FDH2,Clientes,0))))</f>
        <v>#VALUE!</v>
      </c>
      <c r="FDI3" s="28" t="e" cm="1" vm="1">
        <f t="array" ref="FDI3">_xlfn._xlws.FILTER(Rutas,_xlfn._xlws.FILTER($B$2:$B$10000,$B$2:$B$10000&lt;&gt;"")=VALUE(INDEX(IdClientes,MATCH(FDI2,Clientes,0))))</f>
        <v>#VALUE!</v>
      </c>
      <c r="FDJ3" s="28" t="e" cm="1" vm="1">
        <f t="array" ref="FDJ3">_xlfn._xlws.FILTER(Rutas,_xlfn._xlws.FILTER($B$2:$B$10000,$B$2:$B$10000&lt;&gt;"")=VALUE(INDEX(IdClientes,MATCH(FDJ2,Clientes,0))))</f>
        <v>#VALUE!</v>
      </c>
      <c r="FDK3" s="28" t="e" cm="1" vm="1">
        <f t="array" ref="FDK3">_xlfn._xlws.FILTER(Rutas,_xlfn._xlws.FILTER($B$2:$B$10000,$B$2:$B$10000&lt;&gt;"")=VALUE(INDEX(IdClientes,MATCH(FDK2,Clientes,0))))</f>
        <v>#VALUE!</v>
      </c>
      <c r="FDL3" s="28" t="e" cm="1" vm="1">
        <f t="array" ref="FDL3">_xlfn._xlws.FILTER(Rutas,_xlfn._xlws.FILTER($B$2:$B$10000,$B$2:$B$10000&lt;&gt;"")=VALUE(INDEX(IdClientes,MATCH(FDL2,Clientes,0))))</f>
        <v>#VALUE!</v>
      </c>
      <c r="FDM3" s="28" t="e" cm="1" vm="1">
        <f t="array" ref="FDM3">_xlfn._xlws.FILTER(Rutas,_xlfn._xlws.FILTER($B$2:$B$10000,$B$2:$B$10000&lt;&gt;"")=VALUE(INDEX(IdClientes,MATCH(FDM2,Clientes,0))))</f>
        <v>#VALUE!</v>
      </c>
      <c r="FDN3" s="28" t="e" cm="1" vm="1">
        <f t="array" ref="FDN3">_xlfn._xlws.FILTER(Rutas,_xlfn._xlws.FILTER($B$2:$B$10000,$B$2:$B$10000&lt;&gt;"")=VALUE(INDEX(IdClientes,MATCH(FDN2,Clientes,0))))</f>
        <v>#VALUE!</v>
      </c>
      <c r="FDO3" s="28" t="e" cm="1" vm="1">
        <f t="array" ref="FDO3">_xlfn._xlws.FILTER(Rutas,_xlfn._xlws.FILTER($B$2:$B$10000,$B$2:$B$10000&lt;&gt;"")=VALUE(INDEX(IdClientes,MATCH(FDO2,Clientes,0))))</f>
        <v>#VALUE!</v>
      </c>
      <c r="FDP3" s="28" t="e" cm="1" vm="1">
        <f t="array" ref="FDP3">_xlfn._xlws.FILTER(Rutas,_xlfn._xlws.FILTER($B$2:$B$10000,$B$2:$B$10000&lt;&gt;"")=VALUE(INDEX(IdClientes,MATCH(FDP2,Clientes,0))))</f>
        <v>#VALUE!</v>
      </c>
      <c r="FDQ3" s="28" t="e" cm="1" vm="1">
        <f t="array" ref="FDQ3">_xlfn._xlws.FILTER(Rutas,_xlfn._xlws.FILTER($B$2:$B$10000,$B$2:$B$10000&lt;&gt;"")=VALUE(INDEX(IdClientes,MATCH(FDQ2,Clientes,0))))</f>
        <v>#VALUE!</v>
      </c>
      <c r="FDR3" s="28" t="e" cm="1" vm="1">
        <f t="array" ref="FDR3">_xlfn._xlws.FILTER(Rutas,_xlfn._xlws.FILTER($B$2:$B$10000,$B$2:$B$10000&lt;&gt;"")=VALUE(INDEX(IdClientes,MATCH(FDR2,Clientes,0))))</f>
        <v>#VALUE!</v>
      </c>
      <c r="FDS3" s="28" t="e" cm="1" vm="1">
        <f t="array" ref="FDS3">_xlfn._xlws.FILTER(Rutas,_xlfn._xlws.FILTER($B$2:$B$10000,$B$2:$B$10000&lt;&gt;"")=VALUE(INDEX(IdClientes,MATCH(FDS2,Clientes,0))))</f>
        <v>#VALUE!</v>
      </c>
      <c r="FDT3" s="28" t="e" cm="1" vm="1">
        <f t="array" ref="FDT3">_xlfn._xlws.FILTER(Rutas,_xlfn._xlws.FILTER($B$2:$B$10000,$B$2:$B$10000&lt;&gt;"")=VALUE(INDEX(IdClientes,MATCH(FDT2,Clientes,0))))</f>
        <v>#VALUE!</v>
      </c>
      <c r="FDU3" s="28" t="e" cm="1" vm="1">
        <f t="array" ref="FDU3">_xlfn._xlws.FILTER(Rutas,_xlfn._xlws.FILTER($B$2:$B$10000,$B$2:$B$10000&lt;&gt;"")=VALUE(INDEX(IdClientes,MATCH(FDU2,Clientes,0))))</f>
        <v>#VALUE!</v>
      </c>
      <c r="FDV3" s="28" t="e" cm="1" vm="1">
        <f t="array" ref="FDV3">_xlfn._xlws.FILTER(Rutas,_xlfn._xlws.FILTER($B$2:$B$10000,$B$2:$B$10000&lt;&gt;"")=VALUE(INDEX(IdClientes,MATCH(FDV2,Clientes,0))))</f>
        <v>#VALUE!</v>
      </c>
      <c r="FDW3" s="28" t="e" cm="1" vm="1">
        <f t="array" ref="FDW3">_xlfn._xlws.FILTER(Rutas,_xlfn._xlws.FILTER($B$2:$B$10000,$B$2:$B$10000&lt;&gt;"")=VALUE(INDEX(IdClientes,MATCH(FDW2,Clientes,0))))</f>
        <v>#VALUE!</v>
      </c>
      <c r="FDX3" s="28" t="e" cm="1" vm="1">
        <f t="array" ref="FDX3">_xlfn._xlws.FILTER(Rutas,_xlfn._xlws.FILTER($B$2:$B$10000,$B$2:$B$10000&lt;&gt;"")=VALUE(INDEX(IdClientes,MATCH(FDX2,Clientes,0))))</f>
        <v>#VALUE!</v>
      </c>
      <c r="FDY3" s="28" t="e" cm="1" vm="1">
        <f t="array" ref="FDY3">_xlfn._xlws.FILTER(Rutas,_xlfn._xlws.FILTER($B$2:$B$10000,$B$2:$B$10000&lt;&gt;"")=VALUE(INDEX(IdClientes,MATCH(FDY2,Clientes,0))))</f>
        <v>#VALUE!</v>
      </c>
      <c r="FDZ3" s="28" t="e" cm="1" vm="1">
        <f t="array" ref="FDZ3">_xlfn._xlws.FILTER(Rutas,_xlfn._xlws.FILTER($B$2:$B$10000,$B$2:$B$10000&lt;&gt;"")=VALUE(INDEX(IdClientes,MATCH(FDZ2,Clientes,0))))</f>
        <v>#VALUE!</v>
      </c>
      <c r="FEA3" s="28" t="e" cm="1" vm="1">
        <f t="array" ref="FEA3">_xlfn._xlws.FILTER(Rutas,_xlfn._xlws.FILTER($B$2:$B$10000,$B$2:$B$10000&lt;&gt;"")=VALUE(INDEX(IdClientes,MATCH(FEA2,Clientes,0))))</f>
        <v>#VALUE!</v>
      </c>
      <c r="FEB3" s="28" t="e" cm="1" vm="1">
        <f t="array" ref="FEB3">_xlfn._xlws.FILTER(Rutas,_xlfn._xlws.FILTER($B$2:$B$10000,$B$2:$B$10000&lt;&gt;"")=VALUE(INDEX(IdClientes,MATCH(FEB2,Clientes,0))))</f>
        <v>#VALUE!</v>
      </c>
      <c r="FEC3" s="28" t="e" cm="1" vm="1">
        <f t="array" ref="FEC3">_xlfn._xlws.FILTER(Rutas,_xlfn._xlws.FILTER($B$2:$B$10000,$B$2:$B$10000&lt;&gt;"")=VALUE(INDEX(IdClientes,MATCH(FEC2,Clientes,0))))</f>
        <v>#VALUE!</v>
      </c>
      <c r="FED3" s="28" t="e" cm="1" vm="1">
        <f t="array" ref="FED3">_xlfn._xlws.FILTER(Rutas,_xlfn._xlws.FILTER($B$2:$B$10000,$B$2:$B$10000&lt;&gt;"")=VALUE(INDEX(IdClientes,MATCH(FED2,Clientes,0))))</f>
        <v>#VALUE!</v>
      </c>
      <c r="FEE3" s="28" t="e" cm="1" vm="1">
        <f t="array" ref="FEE3">_xlfn._xlws.FILTER(Rutas,_xlfn._xlws.FILTER($B$2:$B$10000,$B$2:$B$10000&lt;&gt;"")=VALUE(INDEX(IdClientes,MATCH(FEE2,Clientes,0))))</f>
        <v>#VALUE!</v>
      </c>
      <c r="FEF3" s="28" t="e" cm="1" vm="1">
        <f t="array" ref="FEF3">_xlfn._xlws.FILTER(Rutas,_xlfn._xlws.FILTER($B$2:$B$10000,$B$2:$B$10000&lt;&gt;"")=VALUE(INDEX(IdClientes,MATCH(FEF2,Clientes,0))))</f>
        <v>#VALUE!</v>
      </c>
      <c r="FEG3" s="28" t="e" cm="1" vm="1">
        <f t="array" ref="FEG3">_xlfn._xlws.FILTER(Rutas,_xlfn._xlws.FILTER($B$2:$B$10000,$B$2:$B$10000&lt;&gt;"")=VALUE(INDEX(IdClientes,MATCH(FEG2,Clientes,0))))</f>
        <v>#VALUE!</v>
      </c>
      <c r="FEH3" s="28" t="e" cm="1" vm="1">
        <f t="array" ref="FEH3">_xlfn._xlws.FILTER(Rutas,_xlfn._xlws.FILTER($B$2:$B$10000,$B$2:$B$10000&lt;&gt;"")=VALUE(INDEX(IdClientes,MATCH(FEH2,Clientes,0))))</f>
        <v>#VALUE!</v>
      </c>
      <c r="FEI3" s="28" t="e" cm="1" vm="1">
        <f t="array" ref="FEI3">_xlfn._xlws.FILTER(Rutas,_xlfn._xlws.FILTER($B$2:$B$10000,$B$2:$B$10000&lt;&gt;"")=VALUE(INDEX(IdClientes,MATCH(FEI2,Clientes,0))))</f>
        <v>#VALUE!</v>
      </c>
      <c r="FEJ3" s="28" t="e" cm="1" vm="1">
        <f t="array" ref="FEJ3">_xlfn._xlws.FILTER(Rutas,_xlfn._xlws.FILTER($B$2:$B$10000,$B$2:$B$10000&lt;&gt;"")=VALUE(INDEX(IdClientes,MATCH(FEJ2,Clientes,0))))</f>
        <v>#VALUE!</v>
      </c>
      <c r="FEK3" s="28" t="e" cm="1" vm="1">
        <f t="array" ref="FEK3">_xlfn._xlws.FILTER(Rutas,_xlfn._xlws.FILTER($B$2:$B$10000,$B$2:$B$10000&lt;&gt;"")=VALUE(INDEX(IdClientes,MATCH(FEK2,Clientes,0))))</f>
        <v>#VALUE!</v>
      </c>
      <c r="FEL3" s="28" t="e" cm="1" vm="1">
        <f t="array" ref="FEL3">_xlfn._xlws.FILTER(Rutas,_xlfn._xlws.FILTER($B$2:$B$10000,$B$2:$B$10000&lt;&gt;"")=VALUE(INDEX(IdClientes,MATCH(FEL2,Clientes,0))))</f>
        <v>#VALUE!</v>
      </c>
      <c r="FEM3" s="28" t="e" cm="1" vm="1">
        <f t="array" ref="FEM3">_xlfn._xlws.FILTER(Rutas,_xlfn._xlws.FILTER($B$2:$B$10000,$B$2:$B$10000&lt;&gt;"")=VALUE(INDEX(IdClientes,MATCH(FEM2,Clientes,0))))</f>
        <v>#VALUE!</v>
      </c>
      <c r="FEN3" s="28" t="e" cm="1" vm="1">
        <f t="array" ref="FEN3">_xlfn._xlws.FILTER(Rutas,_xlfn._xlws.FILTER($B$2:$B$10000,$B$2:$B$10000&lt;&gt;"")=VALUE(INDEX(IdClientes,MATCH(FEN2,Clientes,0))))</f>
        <v>#VALUE!</v>
      </c>
      <c r="FEO3" s="28" t="e" cm="1" vm="1">
        <f t="array" ref="FEO3">_xlfn._xlws.FILTER(Rutas,_xlfn._xlws.FILTER($B$2:$B$10000,$B$2:$B$10000&lt;&gt;"")=VALUE(INDEX(IdClientes,MATCH(FEO2,Clientes,0))))</f>
        <v>#VALUE!</v>
      </c>
      <c r="FEP3" s="28" t="e" cm="1" vm="1">
        <f t="array" ref="FEP3">_xlfn._xlws.FILTER(Rutas,_xlfn._xlws.FILTER($B$2:$B$10000,$B$2:$B$10000&lt;&gt;"")=VALUE(INDEX(IdClientes,MATCH(FEP2,Clientes,0))))</f>
        <v>#VALUE!</v>
      </c>
      <c r="FEQ3" s="28" t="e" cm="1" vm="1">
        <f t="array" ref="FEQ3">_xlfn._xlws.FILTER(Rutas,_xlfn._xlws.FILTER($B$2:$B$10000,$B$2:$B$10000&lt;&gt;"")=VALUE(INDEX(IdClientes,MATCH(FEQ2,Clientes,0))))</f>
        <v>#VALUE!</v>
      </c>
      <c r="FER3" s="28" t="e" cm="1" vm="1">
        <f t="array" ref="FER3">_xlfn._xlws.FILTER(Rutas,_xlfn._xlws.FILTER($B$2:$B$10000,$B$2:$B$10000&lt;&gt;"")=VALUE(INDEX(IdClientes,MATCH(FER2,Clientes,0))))</f>
        <v>#VALUE!</v>
      </c>
      <c r="FES3" s="28" t="e" cm="1" vm="1">
        <f t="array" ref="FES3">_xlfn._xlws.FILTER(Rutas,_xlfn._xlws.FILTER($B$2:$B$10000,$B$2:$B$10000&lt;&gt;"")=VALUE(INDEX(IdClientes,MATCH(FES2,Clientes,0))))</f>
        <v>#VALUE!</v>
      </c>
      <c r="FET3" s="28" t="e" cm="1" vm="1">
        <f t="array" ref="FET3">_xlfn._xlws.FILTER(Rutas,_xlfn._xlws.FILTER($B$2:$B$10000,$B$2:$B$10000&lt;&gt;"")=VALUE(INDEX(IdClientes,MATCH(FET2,Clientes,0))))</f>
        <v>#VALUE!</v>
      </c>
      <c r="FEU3" s="28" t="e" cm="1" vm="1">
        <f t="array" ref="FEU3">_xlfn._xlws.FILTER(Rutas,_xlfn._xlws.FILTER($B$2:$B$10000,$B$2:$B$10000&lt;&gt;"")=VALUE(INDEX(IdClientes,MATCH(FEU2,Clientes,0))))</f>
        <v>#VALUE!</v>
      </c>
      <c r="FEV3" s="28" t="e" cm="1" vm="1">
        <f t="array" ref="FEV3">_xlfn._xlws.FILTER(Rutas,_xlfn._xlws.FILTER($B$2:$B$10000,$B$2:$B$10000&lt;&gt;"")=VALUE(INDEX(IdClientes,MATCH(FEV2,Clientes,0))))</f>
        <v>#VALUE!</v>
      </c>
      <c r="FEW3" s="28" t="e" cm="1" vm="1">
        <f t="array" ref="FEW3">_xlfn._xlws.FILTER(Rutas,_xlfn._xlws.FILTER($B$2:$B$10000,$B$2:$B$10000&lt;&gt;"")=VALUE(INDEX(IdClientes,MATCH(FEW2,Clientes,0))))</f>
        <v>#VALUE!</v>
      </c>
      <c r="FEX3" s="28" t="e" cm="1" vm="1">
        <f t="array" ref="FEX3">_xlfn._xlws.FILTER(Rutas,_xlfn._xlws.FILTER($B$2:$B$10000,$B$2:$B$10000&lt;&gt;"")=VALUE(INDEX(IdClientes,MATCH(FEX2,Clientes,0))))</f>
        <v>#VALUE!</v>
      </c>
      <c r="FEY3" s="28" t="e" cm="1" vm="1">
        <f t="array" ref="FEY3">_xlfn._xlws.FILTER(Rutas,_xlfn._xlws.FILTER($B$2:$B$10000,$B$2:$B$10000&lt;&gt;"")=VALUE(INDEX(IdClientes,MATCH(FEY2,Clientes,0))))</f>
        <v>#VALUE!</v>
      </c>
      <c r="FEZ3" s="28" t="e" cm="1" vm="1">
        <f t="array" ref="FEZ3">_xlfn._xlws.FILTER(Rutas,_xlfn._xlws.FILTER($B$2:$B$10000,$B$2:$B$10000&lt;&gt;"")=VALUE(INDEX(IdClientes,MATCH(FEZ2,Clientes,0))))</f>
        <v>#VALUE!</v>
      </c>
      <c r="FFA3" s="28" t="e" cm="1" vm="1">
        <f t="array" ref="FFA3">_xlfn._xlws.FILTER(Rutas,_xlfn._xlws.FILTER($B$2:$B$10000,$B$2:$B$10000&lt;&gt;"")=VALUE(INDEX(IdClientes,MATCH(FFA2,Clientes,0))))</f>
        <v>#VALUE!</v>
      </c>
      <c r="FFB3" s="28" t="e" cm="1" vm="1">
        <f t="array" ref="FFB3">_xlfn._xlws.FILTER(Rutas,_xlfn._xlws.FILTER($B$2:$B$10000,$B$2:$B$10000&lt;&gt;"")=VALUE(INDEX(IdClientes,MATCH(FFB2,Clientes,0))))</f>
        <v>#VALUE!</v>
      </c>
      <c r="FFC3" s="28" t="e" cm="1" vm="1">
        <f t="array" ref="FFC3">_xlfn._xlws.FILTER(Rutas,_xlfn._xlws.FILTER($B$2:$B$10000,$B$2:$B$10000&lt;&gt;"")=VALUE(INDEX(IdClientes,MATCH(FFC2,Clientes,0))))</f>
        <v>#VALUE!</v>
      </c>
      <c r="FFD3" s="28" t="e" cm="1" vm="1">
        <f t="array" ref="FFD3">_xlfn._xlws.FILTER(Rutas,_xlfn._xlws.FILTER($B$2:$B$10000,$B$2:$B$10000&lt;&gt;"")=VALUE(INDEX(IdClientes,MATCH(FFD2,Clientes,0))))</f>
        <v>#VALUE!</v>
      </c>
      <c r="FFE3" s="28" t="e" cm="1" vm="1">
        <f t="array" ref="FFE3">_xlfn._xlws.FILTER(Rutas,_xlfn._xlws.FILTER($B$2:$B$10000,$B$2:$B$10000&lt;&gt;"")=VALUE(INDEX(IdClientes,MATCH(FFE2,Clientes,0))))</f>
        <v>#VALUE!</v>
      </c>
      <c r="FFF3" s="28" t="e" cm="1" vm="1">
        <f t="array" ref="FFF3">_xlfn._xlws.FILTER(Rutas,_xlfn._xlws.FILTER($B$2:$B$10000,$B$2:$B$10000&lt;&gt;"")=VALUE(INDEX(IdClientes,MATCH(FFF2,Clientes,0))))</f>
        <v>#VALUE!</v>
      </c>
      <c r="FFG3" s="28" t="e" cm="1" vm="1">
        <f t="array" ref="FFG3">_xlfn._xlws.FILTER(Rutas,_xlfn._xlws.FILTER($B$2:$B$10000,$B$2:$B$10000&lt;&gt;"")=VALUE(INDEX(IdClientes,MATCH(FFG2,Clientes,0))))</f>
        <v>#VALUE!</v>
      </c>
      <c r="FFH3" s="28" t="e" cm="1" vm="1">
        <f t="array" ref="FFH3">_xlfn._xlws.FILTER(Rutas,_xlfn._xlws.FILTER($B$2:$B$10000,$B$2:$B$10000&lt;&gt;"")=VALUE(INDEX(IdClientes,MATCH(FFH2,Clientes,0))))</f>
        <v>#VALUE!</v>
      </c>
      <c r="FFI3" s="28" t="e" cm="1" vm="1">
        <f t="array" ref="FFI3">_xlfn._xlws.FILTER(Rutas,_xlfn._xlws.FILTER($B$2:$B$10000,$B$2:$B$10000&lt;&gt;"")=VALUE(INDEX(IdClientes,MATCH(FFI2,Clientes,0))))</f>
        <v>#VALUE!</v>
      </c>
      <c r="FFJ3" s="28" t="e" cm="1" vm="1">
        <f t="array" ref="FFJ3">_xlfn._xlws.FILTER(Rutas,_xlfn._xlws.FILTER($B$2:$B$10000,$B$2:$B$10000&lt;&gt;"")=VALUE(INDEX(IdClientes,MATCH(FFJ2,Clientes,0))))</f>
        <v>#VALUE!</v>
      </c>
      <c r="FFK3" s="28" t="e" cm="1" vm="1">
        <f t="array" ref="FFK3">_xlfn._xlws.FILTER(Rutas,_xlfn._xlws.FILTER($B$2:$B$10000,$B$2:$B$10000&lt;&gt;"")=VALUE(INDEX(IdClientes,MATCH(FFK2,Clientes,0))))</f>
        <v>#VALUE!</v>
      </c>
      <c r="FFL3" s="28" t="e" cm="1" vm="1">
        <f t="array" ref="FFL3">_xlfn._xlws.FILTER(Rutas,_xlfn._xlws.FILTER($B$2:$B$10000,$B$2:$B$10000&lt;&gt;"")=VALUE(INDEX(IdClientes,MATCH(FFL2,Clientes,0))))</f>
        <v>#VALUE!</v>
      </c>
      <c r="FFM3" s="28" t="e" cm="1" vm="1">
        <f t="array" ref="FFM3">_xlfn._xlws.FILTER(Rutas,_xlfn._xlws.FILTER($B$2:$B$10000,$B$2:$B$10000&lt;&gt;"")=VALUE(INDEX(IdClientes,MATCH(FFM2,Clientes,0))))</f>
        <v>#VALUE!</v>
      </c>
      <c r="FFN3" s="28" t="e" cm="1" vm="1">
        <f t="array" ref="FFN3">_xlfn._xlws.FILTER(Rutas,_xlfn._xlws.FILTER($B$2:$B$10000,$B$2:$B$10000&lt;&gt;"")=VALUE(INDEX(IdClientes,MATCH(FFN2,Clientes,0))))</f>
        <v>#VALUE!</v>
      </c>
      <c r="FFO3" s="28" t="e" cm="1" vm="1">
        <f t="array" ref="FFO3">_xlfn._xlws.FILTER(Rutas,_xlfn._xlws.FILTER($B$2:$B$10000,$B$2:$B$10000&lt;&gt;"")=VALUE(INDEX(IdClientes,MATCH(FFO2,Clientes,0))))</f>
        <v>#VALUE!</v>
      </c>
      <c r="FFP3" s="28" t="e" cm="1" vm="1">
        <f t="array" ref="FFP3">_xlfn._xlws.FILTER(Rutas,_xlfn._xlws.FILTER($B$2:$B$10000,$B$2:$B$10000&lt;&gt;"")=VALUE(INDEX(IdClientes,MATCH(FFP2,Clientes,0))))</f>
        <v>#VALUE!</v>
      </c>
      <c r="FFQ3" s="28" t="e" cm="1" vm="1">
        <f t="array" ref="FFQ3">_xlfn._xlws.FILTER(Rutas,_xlfn._xlws.FILTER($B$2:$B$10000,$B$2:$B$10000&lt;&gt;"")=VALUE(INDEX(IdClientes,MATCH(FFQ2,Clientes,0))))</f>
        <v>#VALUE!</v>
      </c>
      <c r="FFR3" s="28" t="e" cm="1" vm="1">
        <f t="array" ref="FFR3">_xlfn._xlws.FILTER(Rutas,_xlfn._xlws.FILTER($B$2:$B$10000,$B$2:$B$10000&lt;&gt;"")=VALUE(INDEX(IdClientes,MATCH(FFR2,Clientes,0))))</f>
        <v>#VALUE!</v>
      </c>
      <c r="FFS3" s="28" t="e" cm="1" vm="1">
        <f t="array" ref="FFS3">_xlfn._xlws.FILTER(Rutas,_xlfn._xlws.FILTER($B$2:$B$10000,$B$2:$B$10000&lt;&gt;"")=VALUE(INDEX(IdClientes,MATCH(FFS2,Clientes,0))))</f>
        <v>#VALUE!</v>
      </c>
      <c r="FFT3" s="28" t="e" cm="1" vm="1">
        <f t="array" ref="FFT3">_xlfn._xlws.FILTER(Rutas,_xlfn._xlws.FILTER($B$2:$B$10000,$B$2:$B$10000&lt;&gt;"")=VALUE(INDEX(IdClientes,MATCH(FFT2,Clientes,0))))</f>
        <v>#VALUE!</v>
      </c>
      <c r="FFU3" s="28" t="e" cm="1" vm="1">
        <f t="array" ref="FFU3">_xlfn._xlws.FILTER(Rutas,_xlfn._xlws.FILTER($B$2:$B$10000,$B$2:$B$10000&lt;&gt;"")=VALUE(INDEX(IdClientes,MATCH(FFU2,Clientes,0))))</f>
        <v>#VALUE!</v>
      </c>
      <c r="FFV3" s="28" t="e" cm="1" vm="1">
        <f t="array" ref="FFV3">_xlfn._xlws.FILTER(Rutas,_xlfn._xlws.FILTER($B$2:$B$10000,$B$2:$B$10000&lt;&gt;"")=VALUE(INDEX(IdClientes,MATCH(FFV2,Clientes,0))))</f>
        <v>#VALUE!</v>
      </c>
      <c r="FFW3" s="28" t="e" cm="1" vm="1">
        <f t="array" ref="FFW3">_xlfn._xlws.FILTER(Rutas,_xlfn._xlws.FILTER($B$2:$B$10000,$B$2:$B$10000&lt;&gt;"")=VALUE(INDEX(IdClientes,MATCH(FFW2,Clientes,0))))</f>
        <v>#VALUE!</v>
      </c>
      <c r="FFX3" s="28" t="e" cm="1" vm="1">
        <f t="array" ref="FFX3">_xlfn._xlws.FILTER(Rutas,_xlfn._xlws.FILTER($B$2:$B$10000,$B$2:$B$10000&lt;&gt;"")=VALUE(INDEX(IdClientes,MATCH(FFX2,Clientes,0))))</f>
        <v>#VALUE!</v>
      </c>
      <c r="FFY3" s="28" t="e" cm="1" vm="1">
        <f t="array" ref="FFY3">_xlfn._xlws.FILTER(Rutas,_xlfn._xlws.FILTER($B$2:$B$10000,$B$2:$B$10000&lt;&gt;"")=VALUE(INDEX(IdClientes,MATCH(FFY2,Clientes,0))))</f>
        <v>#VALUE!</v>
      </c>
      <c r="FFZ3" s="28" t="e" cm="1" vm="1">
        <f t="array" ref="FFZ3">_xlfn._xlws.FILTER(Rutas,_xlfn._xlws.FILTER($B$2:$B$10000,$B$2:$B$10000&lt;&gt;"")=VALUE(INDEX(IdClientes,MATCH(FFZ2,Clientes,0))))</f>
        <v>#VALUE!</v>
      </c>
      <c r="FGA3" s="28" t="e" cm="1" vm="1">
        <f t="array" ref="FGA3">_xlfn._xlws.FILTER(Rutas,_xlfn._xlws.FILTER($B$2:$B$10000,$B$2:$B$10000&lt;&gt;"")=VALUE(INDEX(IdClientes,MATCH(FGA2,Clientes,0))))</f>
        <v>#VALUE!</v>
      </c>
      <c r="FGB3" s="28" t="e" cm="1" vm="1">
        <f t="array" ref="FGB3">_xlfn._xlws.FILTER(Rutas,_xlfn._xlws.FILTER($B$2:$B$10000,$B$2:$B$10000&lt;&gt;"")=VALUE(INDEX(IdClientes,MATCH(FGB2,Clientes,0))))</f>
        <v>#VALUE!</v>
      </c>
      <c r="FGC3" s="28" t="e" cm="1" vm="1">
        <f t="array" ref="FGC3">_xlfn._xlws.FILTER(Rutas,_xlfn._xlws.FILTER($B$2:$B$10000,$B$2:$B$10000&lt;&gt;"")=VALUE(INDEX(IdClientes,MATCH(FGC2,Clientes,0))))</f>
        <v>#VALUE!</v>
      </c>
      <c r="FGD3" s="28" t="e" cm="1" vm="1">
        <f t="array" ref="FGD3">_xlfn._xlws.FILTER(Rutas,_xlfn._xlws.FILTER($B$2:$B$10000,$B$2:$B$10000&lt;&gt;"")=VALUE(INDEX(IdClientes,MATCH(FGD2,Clientes,0))))</f>
        <v>#VALUE!</v>
      </c>
      <c r="FGE3" s="28" t="e" cm="1" vm="1">
        <f t="array" ref="FGE3">_xlfn._xlws.FILTER(Rutas,_xlfn._xlws.FILTER($B$2:$B$10000,$B$2:$B$10000&lt;&gt;"")=VALUE(INDEX(IdClientes,MATCH(FGE2,Clientes,0))))</f>
        <v>#VALUE!</v>
      </c>
      <c r="FGF3" s="28" t="e" cm="1" vm="1">
        <f t="array" ref="FGF3">_xlfn._xlws.FILTER(Rutas,_xlfn._xlws.FILTER($B$2:$B$10000,$B$2:$B$10000&lt;&gt;"")=VALUE(INDEX(IdClientes,MATCH(FGF2,Clientes,0))))</f>
        <v>#VALUE!</v>
      </c>
      <c r="FGG3" s="28" t="e" cm="1" vm="1">
        <f t="array" ref="FGG3">_xlfn._xlws.FILTER(Rutas,_xlfn._xlws.FILTER($B$2:$B$10000,$B$2:$B$10000&lt;&gt;"")=VALUE(INDEX(IdClientes,MATCH(FGG2,Clientes,0))))</f>
        <v>#VALUE!</v>
      </c>
      <c r="FGH3" s="28" t="e" cm="1" vm="1">
        <f t="array" ref="FGH3">_xlfn._xlws.FILTER(Rutas,_xlfn._xlws.FILTER($B$2:$B$10000,$B$2:$B$10000&lt;&gt;"")=VALUE(INDEX(IdClientes,MATCH(FGH2,Clientes,0))))</f>
        <v>#VALUE!</v>
      </c>
      <c r="FGI3" s="28" t="e" cm="1" vm="1">
        <f t="array" ref="FGI3">_xlfn._xlws.FILTER(Rutas,_xlfn._xlws.FILTER($B$2:$B$10000,$B$2:$B$10000&lt;&gt;"")=VALUE(INDEX(IdClientes,MATCH(FGI2,Clientes,0))))</f>
        <v>#VALUE!</v>
      </c>
      <c r="FGJ3" s="28" t="e" cm="1" vm="1">
        <f t="array" ref="FGJ3">_xlfn._xlws.FILTER(Rutas,_xlfn._xlws.FILTER($B$2:$B$10000,$B$2:$B$10000&lt;&gt;"")=VALUE(INDEX(IdClientes,MATCH(FGJ2,Clientes,0))))</f>
        <v>#VALUE!</v>
      </c>
      <c r="FGK3" s="28" t="e" cm="1" vm="1">
        <f t="array" ref="FGK3">_xlfn._xlws.FILTER(Rutas,_xlfn._xlws.FILTER($B$2:$B$10000,$B$2:$B$10000&lt;&gt;"")=VALUE(INDEX(IdClientes,MATCH(FGK2,Clientes,0))))</f>
        <v>#VALUE!</v>
      </c>
      <c r="FGL3" s="28" t="e" cm="1" vm="1">
        <f t="array" ref="FGL3">_xlfn._xlws.FILTER(Rutas,_xlfn._xlws.FILTER($B$2:$B$10000,$B$2:$B$10000&lt;&gt;"")=VALUE(INDEX(IdClientes,MATCH(FGL2,Clientes,0))))</f>
        <v>#VALUE!</v>
      </c>
      <c r="FGM3" s="28" t="e" cm="1" vm="1">
        <f t="array" ref="FGM3">_xlfn._xlws.FILTER(Rutas,_xlfn._xlws.FILTER($B$2:$B$10000,$B$2:$B$10000&lt;&gt;"")=VALUE(INDEX(IdClientes,MATCH(FGM2,Clientes,0))))</f>
        <v>#VALUE!</v>
      </c>
      <c r="FGN3" s="28" t="e" cm="1" vm="1">
        <f t="array" ref="FGN3">_xlfn._xlws.FILTER(Rutas,_xlfn._xlws.FILTER($B$2:$B$10000,$B$2:$B$10000&lt;&gt;"")=VALUE(INDEX(IdClientes,MATCH(FGN2,Clientes,0))))</f>
        <v>#VALUE!</v>
      </c>
      <c r="FGO3" s="28" t="e" cm="1" vm="1">
        <f t="array" ref="FGO3">_xlfn._xlws.FILTER(Rutas,_xlfn._xlws.FILTER($B$2:$B$10000,$B$2:$B$10000&lt;&gt;"")=VALUE(INDEX(IdClientes,MATCH(FGO2,Clientes,0))))</f>
        <v>#VALUE!</v>
      </c>
      <c r="FGP3" s="28" t="e" cm="1" vm="1">
        <f t="array" ref="FGP3">_xlfn._xlws.FILTER(Rutas,_xlfn._xlws.FILTER($B$2:$B$10000,$B$2:$B$10000&lt;&gt;"")=VALUE(INDEX(IdClientes,MATCH(FGP2,Clientes,0))))</f>
        <v>#VALUE!</v>
      </c>
      <c r="FGQ3" s="28" t="e" cm="1" vm="1">
        <f t="array" ref="FGQ3">_xlfn._xlws.FILTER(Rutas,_xlfn._xlws.FILTER($B$2:$B$10000,$B$2:$B$10000&lt;&gt;"")=VALUE(INDEX(IdClientes,MATCH(FGQ2,Clientes,0))))</f>
        <v>#VALUE!</v>
      </c>
      <c r="FGR3" s="28" t="e" cm="1" vm="1">
        <f t="array" ref="FGR3">_xlfn._xlws.FILTER(Rutas,_xlfn._xlws.FILTER($B$2:$B$10000,$B$2:$B$10000&lt;&gt;"")=VALUE(INDEX(IdClientes,MATCH(FGR2,Clientes,0))))</f>
        <v>#VALUE!</v>
      </c>
      <c r="FGS3" s="28" t="e" cm="1" vm="1">
        <f t="array" ref="FGS3">_xlfn._xlws.FILTER(Rutas,_xlfn._xlws.FILTER($B$2:$B$10000,$B$2:$B$10000&lt;&gt;"")=VALUE(INDEX(IdClientes,MATCH(FGS2,Clientes,0))))</f>
        <v>#VALUE!</v>
      </c>
      <c r="FGT3" s="28" t="e" cm="1" vm="1">
        <f t="array" ref="FGT3">_xlfn._xlws.FILTER(Rutas,_xlfn._xlws.FILTER($B$2:$B$10000,$B$2:$B$10000&lt;&gt;"")=VALUE(INDEX(IdClientes,MATCH(FGT2,Clientes,0))))</f>
        <v>#VALUE!</v>
      </c>
      <c r="FGU3" s="28" t="e" cm="1" vm="1">
        <f t="array" ref="FGU3">_xlfn._xlws.FILTER(Rutas,_xlfn._xlws.FILTER($B$2:$B$10000,$B$2:$B$10000&lt;&gt;"")=VALUE(INDEX(IdClientes,MATCH(FGU2,Clientes,0))))</f>
        <v>#VALUE!</v>
      </c>
      <c r="FGV3" s="28" t="e" cm="1" vm="1">
        <f t="array" ref="FGV3">_xlfn._xlws.FILTER(Rutas,_xlfn._xlws.FILTER($B$2:$B$10000,$B$2:$B$10000&lt;&gt;"")=VALUE(INDEX(IdClientes,MATCH(FGV2,Clientes,0))))</f>
        <v>#VALUE!</v>
      </c>
      <c r="FGW3" s="28" t="e" cm="1" vm="1">
        <f t="array" ref="FGW3">_xlfn._xlws.FILTER(Rutas,_xlfn._xlws.FILTER($B$2:$B$10000,$B$2:$B$10000&lt;&gt;"")=VALUE(INDEX(IdClientes,MATCH(FGW2,Clientes,0))))</f>
        <v>#VALUE!</v>
      </c>
      <c r="FGX3" s="28" t="e" cm="1" vm="1">
        <f t="array" ref="FGX3">_xlfn._xlws.FILTER(Rutas,_xlfn._xlws.FILTER($B$2:$B$10000,$B$2:$B$10000&lt;&gt;"")=VALUE(INDEX(IdClientes,MATCH(FGX2,Clientes,0))))</f>
        <v>#VALUE!</v>
      </c>
      <c r="FGY3" s="28" t="e" cm="1" vm="1">
        <f t="array" ref="FGY3">_xlfn._xlws.FILTER(Rutas,_xlfn._xlws.FILTER($B$2:$B$10000,$B$2:$B$10000&lt;&gt;"")=VALUE(INDEX(IdClientes,MATCH(FGY2,Clientes,0))))</f>
        <v>#VALUE!</v>
      </c>
      <c r="FGZ3" s="28" t="e" cm="1" vm="1">
        <f t="array" ref="FGZ3">_xlfn._xlws.FILTER(Rutas,_xlfn._xlws.FILTER($B$2:$B$10000,$B$2:$B$10000&lt;&gt;"")=VALUE(INDEX(IdClientes,MATCH(FGZ2,Clientes,0))))</f>
        <v>#VALUE!</v>
      </c>
      <c r="FHA3" s="28" t="e" cm="1" vm="1">
        <f t="array" ref="FHA3">_xlfn._xlws.FILTER(Rutas,_xlfn._xlws.FILTER($B$2:$B$10000,$B$2:$B$10000&lt;&gt;"")=VALUE(INDEX(IdClientes,MATCH(FHA2,Clientes,0))))</f>
        <v>#VALUE!</v>
      </c>
      <c r="FHB3" s="28" t="e" cm="1" vm="1">
        <f t="array" ref="FHB3">_xlfn._xlws.FILTER(Rutas,_xlfn._xlws.FILTER($B$2:$B$10000,$B$2:$B$10000&lt;&gt;"")=VALUE(INDEX(IdClientes,MATCH(FHB2,Clientes,0))))</f>
        <v>#VALUE!</v>
      </c>
      <c r="FHC3" s="28" t="e" cm="1" vm="1">
        <f t="array" ref="FHC3">_xlfn._xlws.FILTER(Rutas,_xlfn._xlws.FILTER($B$2:$B$10000,$B$2:$B$10000&lt;&gt;"")=VALUE(INDEX(IdClientes,MATCH(FHC2,Clientes,0))))</f>
        <v>#VALUE!</v>
      </c>
      <c r="FHD3" s="28" t="e" cm="1" vm="1">
        <f t="array" ref="FHD3">_xlfn._xlws.FILTER(Rutas,_xlfn._xlws.FILTER($B$2:$B$10000,$B$2:$B$10000&lt;&gt;"")=VALUE(INDEX(IdClientes,MATCH(FHD2,Clientes,0))))</f>
        <v>#VALUE!</v>
      </c>
      <c r="FHE3" s="28" t="e" cm="1" vm="1">
        <f t="array" ref="FHE3">_xlfn._xlws.FILTER(Rutas,_xlfn._xlws.FILTER($B$2:$B$10000,$B$2:$B$10000&lt;&gt;"")=VALUE(INDEX(IdClientes,MATCH(FHE2,Clientes,0))))</f>
        <v>#VALUE!</v>
      </c>
      <c r="FHF3" s="28" t="e" cm="1" vm="1">
        <f t="array" ref="FHF3">_xlfn._xlws.FILTER(Rutas,_xlfn._xlws.FILTER($B$2:$B$10000,$B$2:$B$10000&lt;&gt;"")=VALUE(INDEX(IdClientes,MATCH(FHF2,Clientes,0))))</f>
        <v>#VALUE!</v>
      </c>
      <c r="FHG3" s="28" t="e" cm="1" vm="1">
        <f t="array" ref="FHG3">_xlfn._xlws.FILTER(Rutas,_xlfn._xlws.FILTER($B$2:$B$10000,$B$2:$B$10000&lt;&gt;"")=VALUE(INDEX(IdClientes,MATCH(FHG2,Clientes,0))))</f>
        <v>#VALUE!</v>
      </c>
      <c r="FHH3" s="28" t="e" cm="1" vm="1">
        <f t="array" ref="FHH3">_xlfn._xlws.FILTER(Rutas,_xlfn._xlws.FILTER($B$2:$B$10000,$B$2:$B$10000&lt;&gt;"")=VALUE(INDEX(IdClientes,MATCH(FHH2,Clientes,0))))</f>
        <v>#VALUE!</v>
      </c>
      <c r="FHI3" s="28" t="e" cm="1" vm="1">
        <f t="array" ref="FHI3">_xlfn._xlws.FILTER(Rutas,_xlfn._xlws.FILTER($B$2:$B$10000,$B$2:$B$10000&lt;&gt;"")=VALUE(INDEX(IdClientes,MATCH(FHI2,Clientes,0))))</f>
        <v>#VALUE!</v>
      </c>
      <c r="FHJ3" s="28" t="e" cm="1" vm="1">
        <f t="array" ref="FHJ3">_xlfn._xlws.FILTER(Rutas,_xlfn._xlws.FILTER($B$2:$B$10000,$B$2:$B$10000&lt;&gt;"")=VALUE(INDEX(IdClientes,MATCH(FHJ2,Clientes,0))))</f>
        <v>#VALUE!</v>
      </c>
      <c r="FHK3" s="28" t="e" cm="1" vm="1">
        <f t="array" ref="FHK3">_xlfn._xlws.FILTER(Rutas,_xlfn._xlws.FILTER($B$2:$B$10000,$B$2:$B$10000&lt;&gt;"")=VALUE(INDEX(IdClientes,MATCH(FHK2,Clientes,0))))</f>
        <v>#VALUE!</v>
      </c>
      <c r="FHL3" s="28" t="e" cm="1" vm="1">
        <f t="array" ref="FHL3">_xlfn._xlws.FILTER(Rutas,_xlfn._xlws.FILTER($B$2:$B$10000,$B$2:$B$10000&lt;&gt;"")=VALUE(INDEX(IdClientes,MATCH(FHL2,Clientes,0))))</f>
        <v>#VALUE!</v>
      </c>
      <c r="FHM3" s="28" t="e" cm="1" vm="1">
        <f t="array" ref="FHM3">_xlfn._xlws.FILTER(Rutas,_xlfn._xlws.FILTER($B$2:$B$10000,$B$2:$B$10000&lt;&gt;"")=VALUE(INDEX(IdClientes,MATCH(FHM2,Clientes,0))))</f>
        <v>#VALUE!</v>
      </c>
      <c r="FHN3" s="28" t="e" cm="1" vm="1">
        <f t="array" ref="FHN3">_xlfn._xlws.FILTER(Rutas,_xlfn._xlws.FILTER($B$2:$B$10000,$B$2:$B$10000&lt;&gt;"")=VALUE(INDEX(IdClientes,MATCH(FHN2,Clientes,0))))</f>
        <v>#VALUE!</v>
      </c>
      <c r="FHO3" s="28" t="e" cm="1" vm="1">
        <f t="array" ref="FHO3">_xlfn._xlws.FILTER(Rutas,_xlfn._xlws.FILTER($B$2:$B$10000,$B$2:$B$10000&lt;&gt;"")=VALUE(INDEX(IdClientes,MATCH(FHO2,Clientes,0))))</f>
        <v>#VALUE!</v>
      </c>
      <c r="FHP3" s="28" t="e" cm="1" vm="1">
        <f t="array" ref="FHP3">_xlfn._xlws.FILTER(Rutas,_xlfn._xlws.FILTER($B$2:$B$10000,$B$2:$B$10000&lt;&gt;"")=VALUE(INDEX(IdClientes,MATCH(FHP2,Clientes,0))))</f>
        <v>#VALUE!</v>
      </c>
      <c r="FHQ3" s="28" t="e" cm="1" vm="1">
        <f t="array" ref="FHQ3">_xlfn._xlws.FILTER(Rutas,_xlfn._xlws.FILTER($B$2:$B$10000,$B$2:$B$10000&lt;&gt;"")=VALUE(INDEX(IdClientes,MATCH(FHQ2,Clientes,0))))</f>
        <v>#VALUE!</v>
      </c>
      <c r="FHR3" s="28" t="e" cm="1" vm="1">
        <f t="array" ref="FHR3">_xlfn._xlws.FILTER(Rutas,_xlfn._xlws.FILTER($B$2:$B$10000,$B$2:$B$10000&lt;&gt;"")=VALUE(INDEX(IdClientes,MATCH(FHR2,Clientes,0))))</f>
        <v>#VALUE!</v>
      </c>
      <c r="FHS3" s="28" t="e" cm="1" vm="1">
        <f t="array" ref="FHS3">_xlfn._xlws.FILTER(Rutas,_xlfn._xlws.FILTER($B$2:$B$10000,$B$2:$B$10000&lt;&gt;"")=VALUE(INDEX(IdClientes,MATCH(FHS2,Clientes,0))))</f>
        <v>#VALUE!</v>
      </c>
      <c r="FHT3" s="28" t="e" cm="1" vm="1">
        <f t="array" ref="FHT3">_xlfn._xlws.FILTER(Rutas,_xlfn._xlws.FILTER($B$2:$B$10000,$B$2:$B$10000&lt;&gt;"")=VALUE(INDEX(IdClientes,MATCH(FHT2,Clientes,0))))</f>
        <v>#VALUE!</v>
      </c>
      <c r="FHU3" s="28" t="e" cm="1" vm="1">
        <f t="array" ref="FHU3">_xlfn._xlws.FILTER(Rutas,_xlfn._xlws.FILTER($B$2:$B$10000,$B$2:$B$10000&lt;&gt;"")=VALUE(INDEX(IdClientes,MATCH(FHU2,Clientes,0))))</f>
        <v>#VALUE!</v>
      </c>
      <c r="FHV3" s="28" t="e" cm="1" vm="1">
        <f t="array" ref="FHV3">_xlfn._xlws.FILTER(Rutas,_xlfn._xlws.FILTER($B$2:$B$10000,$B$2:$B$10000&lt;&gt;"")=VALUE(INDEX(IdClientes,MATCH(FHV2,Clientes,0))))</f>
        <v>#VALUE!</v>
      </c>
      <c r="FHW3" s="28" t="e" cm="1" vm="1">
        <f t="array" ref="FHW3">_xlfn._xlws.FILTER(Rutas,_xlfn._xlws.FILTER($B$2:$B$10000,$B$2:$B$10000&lt;&gt;"")=VALUE(INDEX(IdClientes,MATCH(FHW2,Clientes,0))))</f>
        <v>#VALUE!</v>
      </c>
      <c r="FHX3" s="28" t="e" cm="1" vm="1">
        <f t="array" ref="FHX3">_xlfn._xlws.FILTER(Rutas,_xlfn._xlws.FILTER($B$2:$B$10000,$B$2:$B$10000&lt;&gt;"")=VALUE(INDEX(IdClientes,MATCH(FHX2,Clientes,0))))</f>
        <v>#VALUE!</v>
      </c>
      <c r="FHY3" s="28" t="e" cm="1" vm="1">
        <f t="array" ref="FHY3">_xlfn._xlws.FILTER(Rutas,_xlfn._xlws.FILTER($B$2:$B$10000,$B$2:$B$10000&lt;&gt;"")=VALUE(INDEX(IdClientes,MATCH(FHY2,Clientes,0))))</f>
        <v>#VALUE!</v>
      </c>
      <c r="FHZ3" s="28" t="e" cm="1" vm="1">
        <f t="array" ref="FHZ3">_xlfn._xlws.FILTER(Rutas,_xlfn._xlws.FILTER($B$2:$B$10000,$B$2:$B$10000&lt;&gt;"")=VALUE(INDEX(IdClientes,MATCH(FHZ2,Clientes,0))))</f>
        <v>#VALUE!</v>
      </c>
      <c r="FIA3" s="28" t="e" cm="1" vm="1">
        <f t="array" ref="FIA3">_xlfn._xlws.FILTER(Rutas,_xlfn._xlws.FILTER($B$2:$B$10000,$B$2:$B$10000&lt;&gt;"")=VALUE(INDEX(IdClientes,MATCH(FIA2,Clientes,0))))</f>
        <v>#VALUE!</v>
      </c>
      <c r="FIB3" s="28" t="e" cm="1" vm="1">
        <f t="array" ref="FIB3">_xlfn._xlws.FILTER(Rutas,_xlfn._xlws.FILTER($B$2:$B$10000,$B$2:$B$10000&lt;&gt;"")=VALUE(INDEX(IdClientes,MATCH(FIB2,Clientes,0))))</f>
        <v>#VALUE!</v>
      </c>
      <c r="FIC3" s="28" t="e" cm="1" vm="1">
        <f t="array" ref="FIC3">_xlfn._xlws.FILTER(Rutas,_xlfn._xlws.FILTER($B$2:$B$10000,$B$2:$B$10000&lt;&gt;"")=VALUE(INDEX(IdClientes,MATCH(FIC2,Clientes,0))))</f>
        <v>#VALUE!</v>
      </c>
      <c r="FID3" s="28" t="e" cm="1" vm="1">
        <f t="array" ref="FID3">_xlfn._xlws.FILTER(Rutas,_xlfn._xlws.FILTER($B$2:$B$10000,$B$2:$B$10000&lt;&gt;"")=VALUE(INDEX(IdClientes,MATCH(FID2,Clientes,0))))</f>
        <v>#VALUE!</v>
      </c>
      <c r="FIE3" s="28" t="e" cm="1" vm="1">
        <f t="array" ref="FIE3">_xlfn._xlws.FILTER(Rutas,_xlfn._xlws.FILTER($B$2:$B$10000,$B$2:$B$10000&lt;&gt;"")=VALUE(INDEX(IdClientes,MATCH(FIE2,Clientes,0))))</f>
        <v>#VALUE!</v>
      </c>
      <c r="FIF3" s="28" t="e" cm="1" vm="1">
        <f t="array" ref="FIF3">_xlfn._xlws.FILTER(Rutas,_xlfn._xlws.FILTER($B$2:$B$10000,$B$2:$B$10000&lt;&gt;"")=VALUE(INDEX(IdClientes,MATCH(FIF2,Clientes,0))))</f>
        <v>#VALUE!</v>
      </c>
      <c r="FIG3" s="28" t="e" cm="1" vm="1">
        <f t="array" ref="FIG3">_xlfn._xlws.FILTER(Rutas,_xlfn._xlws.FILTER($B$2:$B$10000,$B$2:$B$10000&lt;&gt;"")=VALUE(INDEX(IdClientes,MATCH(FIG2,Clientes,0))))</f>
        <v>#VALUE!</v>
      </c>
      <c r="FIH3" s="28" t="e" cm="1" vm="1">
        <f t="array" ref="FIH3">_xlfn._xlws.FILTER(Rutas,_xlfn._xlws.FILTER($B$2:$B$10000,$B$2:$B$10000&lt;&gt;"")=VALUE(INDEX(IdClientes,MATCH(FIH2,Clientes,0))))</f>
        <v>#VALUE!</v>
      </c>
      <c r="FII3" s="28" t="e" cm="1" vm="1">
        <f t="array" ref="FII3">_xlfn._xlws.FILTER(Rutas,_xlfn._xlws.FILTER($B$2:$B$10000,$B$2:$B$10000&lt;&gt;"")=VALUE(INDEX(IdClientes,MATCH(FII2,Clientes,0))))</f>
        <v>#VALUE!</v>
      </c>
      <c r="FIJ3" s="28" t="e" cm="1" vm="1">
        <f t="array" ref="FIJ3">_xlfn._xlws.FILTER(Rutas,_xlfn._xlws.FILTER($B$2:$B$10000,$B$2:$B$10000&lt;&gt;"")=VALUE(INDEX(IdClientes,MATCH(FIJ2,Clientes,0))))</f>
        <v>#VALUE!</v>
      </c>
      <c r="FIK3" s="28" t="e" cm="1" vm="1">
        <f t="array" ref="FIK3">_xlfn._xlws.FILTER(Rutas,_xlfn._xlws.FILTER($B$2:$B$10000,$B$2:$B$10000&lt;&gt;"")=VALUE(INDEX(IdClientes,MATCH(FIK2,Clientes,0))))</f>
        <v>#VALUE!</v>
      </c>
      <c r="FIL3" s="28" t="e" cm="1" vm="1">
        <f t="array" ref="FIL3">_xlfn._xlws.FILTER(Rutas,_xlfn._xlws.FILTER($B$2:$B$10000,$B$2:$B$10000&lt;&gt;"")=VALUE(INDEX(IdClientes,MATCH(FIL2,Clientes,0))))</f>
        <v>#VALUE!</v>
      </c>
      <c r="FIM3" s="28" t="e" cm="1" vm="1">
        <f t="array" ref="FIM3">_xlfn._xlws.FILTER(Rutas,_xlfn._xlws.FILTER($B$2:$B$10000,$B$2:$B$10000&lt;&gt;"")=VALUE(INDEX(IdClientes,MATCH(FIM2,Clientes,0))))</f>
        <v>#VALUE!</v>
      </c>
      <c r="FIN3" s="28" t="e" cm="1" vm="1">
        <f t="array" ref="FIN3">_xlfn._xlws.FILTER(Rutas,_xlfn._xlws.FILTER($B$2:$B$10000,$B$2:$B$10000&lt;&gt;"")=VALUE(INDEX(IdClientes,MATCH(FIN2,Clientes,0))))</f>
        <v>#VALUE!</v>
      </c>
      <c r="FIO3" s="28" t="e" cm="1" vm="1">
        <f t="array" ref="FIO3">_xlfn._xlws.FILTER(Rutas,_xlfn._xlws.FILTER($B$2:$B$10000,$B$2:$B$10000&lt;&gt;"")=VALUE(INDEX(IdClientes,MATCH(FIO2,Clientes,0))))</f>
        <v>#VALUE!</v>
      </c>
      <c r="FIP3" s="28" t="e" cm="1" vm="1">
        <f t="array" ref="FIP3">_xlfn._xlws.FILTER(Rutas,_xlfn._xlws.FILTER($B$2:$B$10000,$B$2:$B$10000&lt;&gt;"")=VALUE(INDEX(IdClientes,MATCH(FIP2,Clientes,0))))</f>
        <v>#VALUE!</v>
      </c>
      <c r="FIQ3" s="28" t="e" cm="1" vm="1">
        <f t="array" ref="FIQ3">_xlfn._xlws.FILTER(Rutas,_xlfn._xlws.FILTER($B$2:$B$10000,$B$2:$B$10000&lt;&gt;"")=VALUE(INDEX(IdClientes,MATCH(FIQ2,Clientes,0))))</f>
        <v>#VALUE!</v>
      </c>
      <c r="FIR3" s="28" t="e" cm="1" vm="1">
        <f t="array" ref="FIR3">_xlfn._xlws.FILTER(Rutas,_xlfn._xlws.FILTER($B$2:$B$10000,$B$2:$B$10000&lt;&gt;"")=VALUE(INDEX(IdClientes,MATCH(FIR2,Clientes,0))))</f>
        <v>#VALUE!</v>
      </c>
      <c r="FIS3" s="28" t="e" cm="1" vm="1">
        <f t="array" ref="FIS3">_xlfn._xlws.FILTER(Rutas,_xlfn._xlws.FILTER($B$2:$B$10000,$B$2:$B$10000&lt;&gt;"")=VALUE(INDEX(IdClientes,MATCH(FIS2,Clientes,0))))</f>
        <v>#VALUE!</v>
      </c>
      <c r="FIT3" s="28" t="e" cm="1" vm="1">
        <f t="array" ref="FIT3">_xlfn._xlws.FILTER(Rutas,_xlfn._xlws.FILTER($B$2:$B$10000,$B$2:$B$10000&lt;&gt;"")=VALUE(INDEX(IdClientes,MATCH(FIT2,Clientes,0))))</f>
        <v>#VALUE!</v>
      </c>
      <c r="FIU3" s="28" t="e" cm="1" vm="1">
        <f t="array" ref="FIU3">_xlfn._xlws.FILTER(Rutas,_xlfn._xlws.FILTER($B$2:$B$10000,$B$2:$B$10000&lt;&gt;"")=VALUE(INDEX(IdClientes,MATCH(FIU2,Clientes,0))))</f>
        <v>#VALUE!</v>
      </c>
      <c r="FIV3" s="28" t="e" cm="1" vm="1">
        <f t="array" ref="FIV3">_xlfn._xlws.FILTER(Rutas,_xlfn._xlws.FILTER($B$2:$B$10000,$B$2:$B$10000&lt;&gt;"")=VALUE(INDEX(IdClientes,MATCH(FIV2,Clientes,0))))</f>
        <v>#VALUE!</v>
      </c>
      <c r="FIW3" s="28" t="e" cm="1" vm="1">
        <f t="array" ref="FIW3">_xlfn._xlws.FILTER(Rutas,_xlfn._xlws.FILTER($B$2:$B$10000,$B$2:$B$10000&lt;&gt;"")=VALUE(INDEX(IdClientes,MATCH(FIW2,Clientes,0))))</f>
        <v>#VALUE!</v>
      </c>
      <c r="FIX3" s="28" t="e" cm="1" vm="1">
        <f t="array" ref="FIX3">_xlfn._xlws.FILTER(Rutas,_xlfn._xlws.FILTER($B$2:$B$10000,$B$2:$B$10000&lt;&gt;"")=VALUE(INDEX(IdClientes,MATCH(FIX2,Clientes,0))))</f>
        <v>#VALUE!</v>
      </c>
      <c r="FIY3" s="28" t="e" cm="1" vm="1">
        <f t="array" ref="FIY3">_xlfn._xlws.FILTER(Rutas,_xlfn._xlws.FILTER($B$2:$B$10000,$B$2:$B$10000&lt;&gt;"")=VALUE(INDEX(IdClientes,MATCH(FIY2,Clientes,0))))</f>
        <v>#VALUE!</v>
      </c>
      <c r="FIZ3" s="28" t="e" cm="1" vm="1">
        <f t="array" ref="FIZ3">_xlfn._xlws.FILTER(Rutas,_xlfn._xlws.FILTER($B$2:$B$10000,$B$2:$B$10000&lt;&gt;"")=VALUE(INDEX(IdClientes,MATCH(FIZ2,Clientes,0))))</f>
        <v>#VALUE!</v>
      </c>
      <c r="FJA3" s="28" t="e" cm="1" vm="1">
        <f t="array" ref="FJA3">_xlfn._xlws.FILTER(Rutas,_xlfn._xlws.FILTER($B$2:$B$10000,$B$2:$B$10000&lt;&gt;"")=VALUE(INDEX(IdClientes,MATCH(FJA2,Clientes,0))))</f>
        <v>#VALUE!</v>
      </c>
      <c r="FJB3" s="28" t="e" cm="1" vm="1">
        <f t="array" ref="FJB3">_xlfn._xlws.FILTER(Rutas,_xlfn._xlws.FILTER($B$2:$B$10000,$B$2:$B$10000&lt;&gt;"")=VALUE(INDEX(IdClientes,MATCH(FJB2,Clientes,0))))</f>
        <v>#VALUE!</v>
      </c>
      <c r="FJC3" s="28" t="e" cm="1" vm="1">
        <f t="array" ref="FJC3">_xlfn._xlws.FILTER(Rutas,_xlfn._xlws.FILTER($B$2:$B$10000,$B$2:$B$10000&lt;&gt;"")=VALUE(INDEX(IdClientes,MATCH(FJC2,Clientes,0))))</f>
        <v>#VALUE!</v>
      </c>
      <c r="FJD3" s="28" t="e" cm="1" vm="1">
        <f t="array" ref="FJD3">_xlfn._xlws.FILTER(Rutas,_xlfn._xlws.FILTER($B$2:$B$10000,$B$2:$B$10000&lt;&gt;"")=VALUE(INDEX(IdClientes,MATCH(FJD2,Clientes,0))))</f>
        <v>#VALUE!</v>
      </c>
      <c r="FJE3" s="28" t="e" cm="1" vm="1">
        <f t="array" ref="FJE3">_xlfn._xlws.FILTER(Rutas,_xlfn._xlws.FILTER($B$2:$B$10000,$B$2:$B$10000&lt;&gt;"")=VALUE(INDEX(IdClientes,MATCH(FJE2,Clientes,0))))</f>
        <v>#VALUE!</v>
      </c>
      <c r="FJF3" s="28" t="e" cm="1" vm="1">
        <f t="array" ref="FJF3">_xlfn._xlws.FILTER(Rutas,_xlfn._xlws.FILTER($B$2:$B$10000,$B$2:$B$10000&lt;&gt;"")=VALUE(INDEX(IdClientes,MATCH(FJF2,Clientes,0))))</f>
        <v>#VALUE!</v>
      </c>
      <c r="FJG3" s="28" t="e" cm="1" vm="1">
        <f t="array" ref="FJG3">_xlfn._xlws.FILTER(Rutas,_xlfn._xlws.FILTER($B$2:$B$10000,$B$2:$B$10000&lt;&gt;"")=VALUE(INDEX(IdClientes,MATCH(FJG2,Clientes,0))))</f>
        <v>#VALUE!</v>
      </c>
      <c r="FJH3" s="28" t="e" cm="1" vm="1">
        <f t="array" ref="FJH3">_xlfn._xlws.FILTER(Rutas,_xlfn._xlws.FILTER($B$2:$B$10000,$B$2:$B$10000&lt;&gt;"")=VALUE(INDEX(IdClientes,MATCH(FJH2,Clientes,0))))</f>
        <v>#VALUE!</v>
      </c>
      <c r="FJI3" s="28" t="e" cm="1" vm="1">
        <f t="array" ref="FJI3">_xlfn._xlws.FILTER(Rutas,_xlfn._xlws.FILTER($B$2:$B$10000,$B$2:$B$10000&lt;&gt;"")=VALUE(INDEX(IdClientes,MATCH(FJI2,Clientes,0))))</f>
        <v>#VALUE!</v>
      </c>
      <c r="FJJ3" s="28" t="e" cm="1" vm="1">
        <f t="array" ref="FJJ3">_xlfn._xlws.FILTER(Rutas,_xlfn._xlws.FILTER($B$2:$B$10000,$B$2:$B$10000&lt;&gt;"")=VALUE(INDEX(IdClientes,MATCH(FJJ2,Clientes,0))))</f>
        <v>#VALUE!</v>
      </c>
      <c r="FJK3" s="28" t="e" cm="1" vm="1">
        <f t="array" ref="FJK3">_xlfn._xlws.FILTER(Rutas,_xlfn._xlws.FILTER($B$2:$B$10000,$B$2:$B$10000&lt;&gt;"")=VALUE(INDEX(IdClientes,MATCH(FJK2,Clientes,0))))</f>
        <v>#VALUE!</v>
      </c>
      <c r="FJL3" s="28" t="e" cm="1" vm="1">
        <f t="array" ref="FJL3">_xlfn._xlws.FILTER(Rutas,_xlfn._xlws.FILTER($B$2:$B$10000,$B$2:$B$10000&lt;&gt;"")=VALUE(INDEX(IdClientes,MATCH(FJL2,Clientes,0))))</f>
        <v>#VALUE!</v>
      </c>
      <c r="FJM3" s="28" t="e" cm="1" vm="1">
        <f t="array" ref="FJM3">_xlfn._xlws.FILTER(Rutas,_xlfn._xlws.FILTER($B$2:$B$10000,$B$2:$B$10000&lt;&gt;"")=VALUE(INDEX(IdClientes,MATCH(FJM2,Clientes,0))))</f>
        <v>#VALUE!</v>
      </c>
      <c r="FJN3" s="28" t="e" cm="1" vm="1">
        <f t="array" ref="FJN3">_xlfn._xlws.FILTER(Rutas,_xlfn._xlws.FILTER($B$2:$B$10000,$B$2:$B$10000&lt;&gt;"")=VALUE(INDEX(IdClientes,MATCH(FJN2,Clientes,0))))</f>
        <v>#VALUE!</v>
      </c>
      <c r="FJO3" s="28" t="e" cm="1" vm="1">
        <f t="array" ref="FJO3">_xlfn._xlws.FILTER(Rutas,_xlfn._xlws.FILTER($B$2:$B$10000,$B$2:$B$10000&lt;&gt;"")=VALUE(INDEX(IdClientes,MATCH(FJO2,Clientes,0))))</f>
        <v>#VALUE!</v>
      </c>
      <c r="FJP3" s="28" t="e" cm="1" vm="1">
        <f t="array" ref="FJP3">_xlfn._xlws.FILTER(Rutas,_xlfn._xlws.FILTER($B$2:$B$10000,$B$2:$B$10000&lt;&gt;"")=VALUE(INDEX(IdClientes,MATCH(FJP2,Clientes,0))))</f>
        <v>#VALUE!</v>
      </c>
      <c r="FJQ3" s="28" t="e" cm="1" vm="1">
        <f t="array" ref="FJQ3">_xlfn._xlws.FILTER(Rutas,_xlfn._xlws.FILTER($B$2:$B$10000,$B$2:$B$10000&lt;&gt;"")=VALUE(INDEX(IdClientes,MATCH(FJQ2,Clientes,0))))</f>
        <v>#VALUE!</v>
      </c>
      <c r="FJR3" s="28" t="e" cm="1" vm="1">
        <f t="array" ref="FJR3">_xlfn._xlws.FILTER(Rutas,_xlfn._xlws.FILTER($B$2:$B$10000,$B$2:$B$10000&lt;&gt;"")=VALUE(INDEX(IdClientes,MATCH(FJR2,Clientes,0))))</f>
        <v>#VALUE!</v>
      </c>
      <c r="FJS3" s="28" t="e" cm="1" vm="1">
        <f t="array" ref="FJS3">_xlfn._xlws.FILTER(Rutas,_xlfn._xlws.FILTER($B$2:$B$10000,$B$2:$B$10000&lt;&gt;"")=VALUE(INDEX(IdClientes,MATCH(FJS2,Clientes,0))))</f>
        <v>#VALUE!</v>
      </c>
      <c r="FJT3" s="28" t="e" cm="1" vm="1">
        <f t="array" ref="FJT3">_xlfn._xlws.FILTER(Rutas,_xlfn._xlws.FILTER($B$2:$B$10000,$B$2:$B$10000&lt;&gt;"")=VALUE(INDEX(IdClientes,MATCH(FJT2,Clientes,0))))</f>
        <v>#VALUE!</v>
      </c>
      <c r="FJU3" s="28" t="e" cm="1" vm="1">
        <f t="array" ref="FJU3">_xlfn._xlws.FILTER(Rutas,_xlfn._xlws.FILTER($B$2:$B$10000,$B$2:$B$10000&lt;&gt;"")=VALUE(INDEX(IdClientes,MATCH(FJU2,Clientes,0))))</f>
        <v>#VALUE!</v>
      </c>
      <c r="FJV3" s="28" t="e" cm="1" vm="1">
        <f t="array" ref="FJV3">_xlfn._xlws.FILTER(Rutas,_xlfn._xlws.FILTER($B$2:$B$10000,$B$2:$B$10000&lt;&gt;"")=VALUE(INDEX(IdClientes,MATCH(FJV2,Clientes,0))))</f>
        <v>#VALUE!</v>
      </c>
      <c r="FJW3" s="28" t="e" cm="1" vm="1">
        <f t="array" ref="FJW3">_xlfn._xlws.FILTER(Rutas,_xlfn._xlws.FILTER($B$2:$B$10000,$B$2:$B$10000&lt;&gt;"")=VALUE(INDEX(IdClientes,MATCH(FJW2,Clientes,0))))</f>
        <v>#VALUE!</v>
      </c>
      <c r="FJX3" s="28" t="e" cm="1" vm="1">
        <f t="array" ref="FJX3">_xlfn._xlws.FILTER(Rutas,_xlfn._xlws.FILTER($B$2:$B$10000,$B$2:$B$10000&lt;&gt;"")=VALUE(INDEX(IdClientes,MATCH(FJX2,Clientes,0))))</f>
        <v>#VALUE!</v>
      </c>
      <c r="FJY3" s="28" t="e" cm="1" vm="1">
        <f t="array" ref="FJY3">_xlfn._xlws.FILTER(Rutas,_xlfn._xlws.FILTER($B$2:$B$10000,$B$2:$B$10000&lt;&gt;"")=VALUE(INDEX(IdClientes,MATCH(FJY2,Clientes,0))))</f>
        <v>#VALUE!</v>
      </c>
      <c r="FJZ3" s="28" t="e" cm="1" vm="1">
        <f t="array" ref="FJZ3">_xlfn._xlws.FILTER(Rutas,_xlfn._xlws.FILTER($B$2:$B$10000,$B$2:$B$10000&lt;&gt;"")=VALUE(INDEX(IdClientes,MATCH(FJZ2,Clientes,0))))</f>
        <v>#VALUE!</v>
      </c>
      <c r="FKA3" s="28" t="e" cm="1" vm="1">
        <f t="array" ref="FKA3">_xlfn._xlws.FILTER(Rutas,_xlfn._xlws.FILTER($B$2:$B$10000,$B$2:$B$10000&lt;&gt;"")=VALUE(INDEX(IdClientes,MATCH(FKA2,Clientes,0))))</f>
        <v>#VALUE!</v>
      </c>
      <c r="FKB3" s="28" t="e" cm="1" vm="1">
        <f t="array" ref="FKB3">_xlfn._xlws.FILTER(Rutas,_xlfn._xlws.FILTER($B$2:$B$10000,$B$2:$B$10000&lt;&gt;"")=VALUE(INDEX(IdClientes,MATCH(FKB2,Clientes,0))))</f>
        <v>#VALUE!</v>
      </c>
      <c r="FKC3" s="28" t="e" cm="1" vm="1">
        <f t="array" ref="FKC3">_xlfn._xlws.FILTER(Rutas,_xlfn._xlws.FILTER($B$2:$B$10000,$B$2:$B$10000&lt;&gt;"")=VALUE(INDEX(IdClientes,MATCH(FKC2,Clientes,0))))</f>
        <v>#VALUE!</v>
      </c>
      <c r="FKD3" s="28" t="e" cm="1" vm="1">
        <f t="array" ref="FKD3">_xlfn._xlws.FILTER(Rutas,_xlfn._xlws.FILTER($B$2:$B$10000,$B$2:$B$10000&lt;&gt;"")=VALUE(INDEX(IdClientes,MATCH(FKD2,Clientes,0))))</f>
        <v>#VALUE!</v>
      </c>
      <c r="FKE3" s="28" t="e" cm="1" vm="1">
        <f t="array" ref="FKE3">_xlfn._xlws.FILTER(Rutas,_xlfn._xlws.FILTER($B$2:$B$10000,$B$2:$B$10000&lt;&gt;"")=VALUE(INDEX(IdClientes,MATCH(FKE2,Clientes,0))))</f>
        <v>#VALUE!</v>
      </c>
      <c r="FKF3" s="28" t="e" cm="1" vm="1">
        <f t="array" ref="FKF3">_xlfn._xlws.FILTER(Rutas,_xlfn._xlws.FILTER($B$2:$B$10000,$B$2:$B$10000&lt;&gt;"")=VALUE(INDEX(IdClientes,MATCH(FKF2,Clientes,0))))</f>
        <v>#VALUE!</v>
      </c>
      <c r="FKG3" s="28" t="e" cm="1" vm="1">
        <f t="array" ref="FKG3">_xlfn._xlws.FILTER(Rutas,_xlfn._xlws.FILTER($B$2:$B$10000,$B$2:$B$10000&lt;&gt;"")=VALUE(INDEX(IdClientes,MATCH(FKG2,Clientes,0))))</f>
        <v>#VALUE!</v>
      </c>
      <c r="FKH3" s="28" t="e" cm="1" vm="1">
        <f t="array" ref="FKH3">_xlfn._xlws.FILTER(Rutas,_xlfn._xlws.FILTER($B$2:$B$10000,$B$2:$B$10000&lt;&gt;"")=VALUE(INDEX(IdClientes,MATCH(FKH2,Clientes,0))))</f>
        <v>#VALUE!</v>
      </c>
      <c r="FKI3" s="28" t="e" cm="1" vm="1">
        <f t="array" ref="FKI3">_xlfn._xlws.FILTER(Rutas,_xlfn._xlws.FILTER($B$2:$B$10000,$B$2:$B$10000&lt;&gt;"")=VALUE(INDEX(IdClientes,MATCH(FKI2,Clientes,0))))</f>
        <v>#VALUE!</v>
      </c>
      <c r="FKJ3" s="28" t="e" cm="1" vm="1">
        <f t="array" ref="FKJ3">_xlfn._xlws.FILTER(Rutas,_xlfn._xlws.FILTER($B$2:$B$10000,$B$2:$B$10000&lt;&gt;"")=VALUE(INDEX(IdClientes,MATCH(FKJ2,Clientes,0))))</f>
        <v>#VALUE!</v>
      </c>
      <c r="FKK3" s="28" t="e" cm="1" vm="1">
        <f t="array" ref="FKK3">_xlfn._xlws.FILTER(Rutas,_xlfn._xlws.FILTER($B$2:$B$10000,$B$2:$B$10000&lt;&gt;"")=VALUE(INDEX(IdClientes,MATCH(FKK2,Clientes,0))))</f>
        <v>#VALUE!</v>
      </c>
      <c r="FKL3" s="28" t="e" cm="1" vm="1">
        <f t="array" ref="FKL3">_xlfn._xlws.FILTER(Rutas,_xlfn._xlws.FILTER($B$2:$B$10000,$B$2:$B$10000&lt;&gt;"")=VALUE(INDEX(IdClientes,MATCH(FKL2,Clientes,0))))</f>
        <v>#VALUE!</v>
      </c>
      <c r="FKM3" s="28" t="e" cm="1" vm="1">
        <f t="array" ref="FKM3">_xlfn._xlws.FILTER(Rutas,_xlfn._xlws.FILTER($B$2:$B$10000,$B$2:$B$10000&lt;&gt;"")=VALUE(INDEX(IdClientes,MATCH(FKM2,Clientes,0))))</f>
        <v>#VALUE!</v>
      </c>
      <c r="FKN3" s="28" t="e" cm="1" vm="1">
        <f t="array" ref="FKN3">_xlfn._xlws.FILTER(Rutas,_xlfn._xlws.FILTER($B$2:$B$10000,$B$2:$B$10000&lt;&gt;"")=VALUE(INDEX(IdClientes,MATCH(FKN2,Clientes,0))))</f>
        <v>#VALUE!</v>
      </c>
      <c r="FKO3" s="28" t="e" cm="1" vm="1">
        <f t="array" ref="FKO3">_xlfn._xlws.FILTER(Rutas,_xlfn._xlws.FILTER($B$2:$B$10000,$B$2:$B$10000&lt;&gt;"")=VALUE(INDEX(IdClientes,MATCH(FKO2,Clientes,0))))</f>
        <v>#VALUE!</v>
      </c>
      <c r="FKP3" s="28" t="e" cm="1" vm="1">
        <f t="array" ref="FKP3">_xlfn._xlws.FILTER(Rutas,_xlfn._xlws.FILTER($B$2:$B$10000,$B$2:$B$10000&lt;&gt;"")=VALUE(INDEX(IdClientes,MATCH(FKP2,Clientes,0))))</f>
        <v>#VALUE!</v>
      </c>
      <c r="FKQ3" s="28" t="e" cm="1" vm="1">
        <f t="array" ref="FKQ3">_xlfn._xlws.FILTER(Rutas,_xlfn._xlws.FILTER($B$2:$B$10000,$B$2:$B$10000&lt;&gt;"")=VALUE(INDEX(IdClientes,MATCH(FKQ2,Clientes,0))))</f>
        <v>#VALUE!</v>
      </c>
      <c r="FKR3" s="28" t="e" cm="1" vm="1">
        <f t="array" ref="FKR3">_xlfn._xlws.FILTER(Rutas,_xlfn._xlws.FILTER($B$2:$B$10000,$B$2:$B$10000&lt;&gt;"")=VALUE(INDEX(IdClientes,MATCH(FKR2,Clientes,0))))</f>
        <v>#VALUE!</v>
      </c>
      <c r="FKS3" s="28" t="e" cm="1" vm="1">
        <f t="array" ref="FKS3">_xlfn._xlws.FILTER(Rutas,_xlfn._xlws.FILTER($B$2:$B$10000,$B$2:$B$10000&lt;&gt;"")=VALUE(INDEX(IdClientes,MATCH(FKS2,Clientes,0))))</f>
        <v>#VALUE!</v>
      </c>
      <c r="FKT3" s="28" t="e" cm="1" vm="1">
        <f t="array" ref="FKT3">_xlfn._xlws.FILTER(Rutas,_xlfn._xlws.FILTER($B$2:$B$10000,$B$2:$B$10000&lt;&gt;"")=VALUE(INDEX(IdClientes,MATCH(FKT2,Clientes,0))))</f>
        <v>#VALUE!</v>
      </c>
      <c r="FKU3" s="28" t="e" cm="1" vm="1">
        <f t="array" ref="FKU3">_xlfn._xlws.FILTER(Rutas,_xlfn._xlws.FILTER($B$2:$B$10000,$B$2:$B$10000&lt;&gt;"")=VALUE(INDEX(IdClientes,MATCH(FKU2,Clientes,0))))</f>
        <v>#VALUE!</v>
      </c>
      <c r="FKV3" s="28" t="e" cm="1" vm="1">
        <f t="array" ref="FKV3">_xlfn._xlws.FILTER(Rutas,_xlfn._xlws.FILTER($B$2:$B$10000,$B$2:$B$10000&lt;&gt;"")=VALUE(INDEX(IdClientes,MATCH(FKV2,Clientes,0))))</f>
        <v>#VALUE!</v>
      </c>
      <c r="FKW3" s="28" t="e" cm="1" vm="1">
        <f t="array" ref="FKW3">_xlfn._xlws.FILTER(Rutas,_xlfn._xlws.FILTER($B$2:$B$10000,$B$2:$B$10000&lt;&gt;"")=VALUE(INDEX(IdClientes,MATCH(FKW2,Clientes,0))))</f>
        <v>#VALUE!</v>
      </c>
      <c r="FKX3" s="28" t="e" cm="1" vm="1">
        <f t="array" ref="FKX3">_xlfn._xlws.FILTER(Rutas,_xlfn._xlws.FILTER($B$2:$B$10000,$B$2:$B$10000&lt;&gt;"")=VALUE(INDEX(IdClientes,MATCH(FKX2,Clientes,0))))</f>
        <v>#VALUE!</v>
      </c>
      <c r="FKY3" s="28" t="e" cm="1" vm="1">
        <f t="array" ref="FKY3">_xlfn._xlws.FILTER(Rutas,_xlfn._xlws.FILTER($B$2:$B$10000,$B$2:$B$10000&lt;&gt;"")=VALUE(INDEX(IdClientes,MATCH(FKY2,Clientes,0))))</f>
        <v>#VALUE!</v>
      </c>
      <c r="FKZ3" s="28" t="e" cm="1" vm="1">
        <f t="array" ref="FKZ3">_xlfn._xlws.FILTER(Rutas,_xlfn._xlws.FILTER($B$2:$B$10000,$B$2:$B$10000&lt;&gt;"")=VALUE(INDEX(IdClientes,MATCH(FKZ2,Clientes,0))))</f>
        <v>#VALUE!</v>
      </c>
      <c r="FLA3" s="28" t="e" cm="1" vm="1">
        <f t="array" ref="FLA3">_xlfn._xlws.FILTER(Rutas,_xlfn._xlws.FILTER($B$2:$B$10000,$B$2:$B$10000&lt;&gt;"")=VALUE(INDEX(IdClientes,MATCH(FLA2,Clientes,0))))</f>
        <v>#VALUE!</v>
      </c>
      <c r="FLB3" s="28" t="e" cm="1" vm="1">
        <f t="array" ref="FLB3">_xlfn._xlws.FILTER(Rutas,_xlfn._xlws.FILTER($B$2:$B$10000,$B$2:$B$10000&lt;&gt;"")=VALUE(INDEX(IdClientes,MATCH(FLB2,Clientes,0))))</f>
        <v>#VALUE!</v>
      </c>
      <c r="FLC3" s="28" t="e" cm="1" vm="1">
        <f t="array" ref="FLC3">_xlfn._xlws.FILTER(Rutas,_xlfn._xlws.FILTER($B$2:$B$10000,$B$2:$B$10000&lt;&gt;"")=VALUE(INDEX(IdClientes,MATCH(FLC2,Clientes,0))))</f>
        <v>#VALUE!</v>
      </c>
      <c r="FLD3" s="28" t="e" cm="1" vm="1">
        <f t="array" ref="FLD3">_xlfn._xlws.FILTER(Rutas,_xlfn._xlws.FILTER($B$2:$B$10000,$B$2:$B$10000&lt;&gt;"")=VALUE(INDEX(IdClientes,MATCH(FLD2,Clientes,0))))</f>
        <v>#VALUE!</v>
      </c>
      <c r="FLE3" s="28" t="e" cm="1" vm="1">
        <f t="array" ref="FLE3">_xlfn._xlws.FILTER(Rutas,_xlfn._xlws.FILTER($B$2:$B$10000,$B$2:$B$10000&lt;&gt;"")=VALUE(INDEX(IdClientes,MATCH(FLE2,Clientes,0))))</f>
        <v>#VALUE!</v>
      </c>
      <c r="FLF3" s="28" t="e" cm="1" vm="1">
        <f t="array" ref="FLF3">_xlfn._xlws.FILTER(Rutas,_xlfn._xlws.FILTER($B$2:$B$10000,$B$2:$B$10000&lt;&gt;"")=VALUE(INDEX(IdClientes,MATCH(FLF2,Clientes,0))))</f>
        <v>#VALUE!</v>
      </c>
      <c r="FLG3" s="28" t="e" cm="1" vm="1">
        <f t="array" ref="FLG3">_xlfn._xlws.FILTER(Rutas,_xlfn._xlws.FILTER($B$2:$B$10000,$B$2:$B$10000&lt;&gt;"")=VALUE(INDEX(IdClientes,MATCH(FLG2,Clientes,0))))</f>
        <v>#VALUE!</v>
      </c>
      <c r="FLH3" s="28" t="e" cm="1" vm="1">
        <f t="array" ref="FLH3">_xlfn._xlws.FILTER(Rutas,_xlfn._xlws.FILTER($B$2:$B$10000,$B$2:$B$10000&lt;&gt;"")=VALUE(INDEX(IdClientes,MATCH(FLH2,Clientes,0))))</f>
        <v>#VALUE!</v>
      </c>
      <c r="FLI3" s="28" t="e" cm="1" vm="1">
        <f t="array" ref="FLI3">_xlfn._xlws.FILTER(Rutas,_xlfn._xlws.FILTER($B$2:$B$10000,$B$2:$B$10000&lt;&gt;"")=VALUE(INDEX(IdClientes,MATCH(FLI2,Clientes,0))))</f>
        <v>#VALUE!</v>
      </c>
      <c r="FLJ3" s="28" t="e" cm="1" vm="1">
        <f t="array" ref="FLJ3">_xlfn._xlws.FILTER(Rutas,_xlfn._xlws.FILTER($B$2:$B$10000,$B$2:$B$10000&lt;&gt;"")=VALUE(INDEX(IdClientes,MATCH(FLJ2,Clientes,0))))</f>
        <v>#VALUE!</v>
      </c>
      <c r="FLK3" s="28" t="e" cm="1" vm="1">
        <f t="array" ref="FLK3">_xlfn._xlws.FILTER(Rutas,_xlfn._xlws.FILTER($B$2:$B$10000,$B$2:$B$10000&lt;&gt;"")=VALUE(INDEX(IdClientes,MATCH(FLK2,Clientes,0))))</f>
        <v>#VALUE!</v>
      </c>
      <c r="FLL3" s="28" t="e" cm="1" vm="1">
        <f t="array" ref="FLL3">_xlfn._xlws.FILTER(Rutas,_xlfn._xlws.FILTER($B$2:$B$10000,$B$2:$B$10000&lt;&gt;"")=VALUE(INDEX(IdClientes,MATCH(FLL2,Clientes,0))))</f>
        <v>#VALUE!</v>
      </c>
      <c r="FLM3" s="28" t="e" cm="1" vm="1">
        <f t="array" ref="FLM3">_xlfn._xlws.FILTER(Rutas,_xlfn._xlws.FILTER($B$2:$B$10000,$B$2:$B$10000&lt;&gt;"")=VALUE(INDEX(IdClientes,MATCH(FLM2,Clientes,0))))</f>
        <v>#VALUE!</v>
      </c>
      <c r="FLN3" s="28" t="e" cm="1" vm="1">
        <f t="array" ref="FLN3">_xlfn._xlws.FILTER(Rutas,_xlfn._xlws.FILTER($B$2:$B$10000,$B$2:$B$10000&lt;&gt;"")=VALUE(INDEX(IdClientes,MATCH(FLN2,Clientes,0))))</f>
        <v>#VALUE!</v>
      </c>
      <c r="FLO3" s="28" t="e" cm="1" vm="1">
        <f t="array" ref="FLO3">_xlfn._xlws.FILTER(Rutas,_xlfn._xlws.FILTER($B$2:$B$10000,$B$2:$B$10000&lt;&gt;"")=VALUE(INDEX(IdClientes,MATCH(FLO2,Clientes,0))))</f>
        <v>#VALUE!</v>
      </c>
      <c r="FLP3" s="28" t="e" cm="1" vm="1">
        <f t="array" ref="FLP3">_xlfn._xlws.FILTER(Rutas,_xlfn._xlws.FILTER($B$2:$B$10000,$B$2:$B$10000&lt;&gt;"")=VALUE(INDEX(IdClientes,MATCH(FLP2,Clientes,0))))</f>
        <v>#VALUE!</v>
      </c>
      <c r="FLQ3" s="28" t="e" cm="1" vm="1">
        <f t="array" ref="FLQ3">_xlfn._xlws.FILTER(Rutas,_xlfn._xlws.FILTER($B$2:$B$10000,$B$2:$B$10000&lt;&gt;"")=VALUE(INDEX(IdClientes,MATCH(FLQ2,Clientes,0))))</f>
        <v>#VALUE!</v>
      </c>
      <c r="FLR3" s="28" t="e" cm="1" vm="1">
        <f t="array" ref="FLR3">_xlfn._xlws.FILTER(Rutas,_xlfn._xlws.FILTER($B$2:$B$10000,$B$2:$B$10000&lt;&gt;"")=VALUE(INDEX(IdClientes,MATCH(FLR2,Clientes,0))))</f>
        <v>#VALUE!</v>
      </c>
      <c r="FLS3" s="28" t="e" cm="1" vm="1">
        <f t="array" ref="FLS3">_xlfn._xlws.FILTER(Rutas,_xlfn._xlws.FILTER($B$2:$B$10000,$B$2:$B$10000&lt;&gt;"")=VALUE(INDEX(IdClientes,MATCH(FLS2,Clientes,0))))</f>
        <v>#VALUE!</v>
      </c>
      <c r="FLT3" s="28" t="e" cm="1" vm="1">
        <f t="array" ref="FLT3">_xlfn._xlws.FILTER(Rutas,_xlfn._xlws.FILTER($B$2:$B$10000,$B$2:$B$10000&lt;&gt;"")=VALUE(INDEX(IdClientes,MATCH(FLT2,Clientes,0))))</f>
        <v>#VALUE!</v>
      </c>
      <c r="FLU3" s="28" t="e" cm="1" vm="1">
        <f t="array" ref="FLU3">_xlfn._xlws.FILTER(Rutas,_xlfn._xlws.FILTER($B$2:$B$10000,$B$2:$B$10000&lt;&gt;"")=VALUE(INDEX(IdClientes,MATCH(FLU2,Clientes,0))))</f>
        <v>#VALUE!</v>
      </c>
      <c r="FLV3" s="28" t="e" cm="1" vm="1">
        <f t="array" ref="FLV3">_xlfn._xlws.FILTER(Rutas,_xlfn._xlws.FILTER($B$2:$B$10000,$B$2:$B$10000&lt;&gt;"")=VALUE(INDEX(IdClientes,MATCH(FLV2,Clientes,0))))</f>
        <v>#VALUE!</v>
      </c>
      <c r="FLW3" s="28" t="e" cm="1" vm="1">
        <f t="array" ref="FLW3">_xlfn._xlws.FILTER(Rutas,_xlfn._xlws.FILTER($B$2:$B$10000,$B$2:$B$10000&lt;&gt;"")=VALUE(INDEX(IdClientes,MATCH(FLW2,Clientes,0))))</f>
        <v>#VALUE!</v>
      </c>
      <c r="FLX3" s="28" t="e" cm="1" vm="1">
        <f t="array" ref="FLX3">_xlfn._xlws.FILTER(Rutas,_xlfn._xlws.FILTER($B$2:$B$10000,$B$2:$B$10000&lt;&gt;"")=VALUE(INDEX(IdClientes,MATCH(FLX2,Clientes,0))))</f>
        <v>#VALUE!</v>
      </c>
      <c r="FLY3" s="28" t="e" cm="1" vm="1">
        <f t="array" ref="FLY3">_xlfn._xlws.FILTER(Rutas,_xlfn._xlws.FILTER($B$2:$B$10000,$B$2:$B$10000&lt;&gt;"")=VALUE(INDEX(IdClientes,MATCH(FLY2,Clientes,0))))</f>
        <v>#VALUE!</v>
      </c>
      <c r="FLZ3" s="28" t="e" cm="1" vm="1">
        <f t="array" ref="FLZ3">_xlfn._xlws.FILTER(Rutas,_xlfn._xlws.FILTER($B$2:$B$10000,$B$2:$B$10000&lt;&gt;"")=VALUE(INDEX(IdClientes,MATCH(FLZ2,Clientes,0))))</f>
        <v>#VALUE!</v>
      </c>
      <c r="FMA3" s="28" t="e" cm="1" vm="1">
        <f t="array" ref="FMA3">_xlfn._xlws.FILTER(Rutas,_xlfn._xlws.FILTER($B$2:$B$10000,$B$2:$B$10000&lt;&gt;"")=VALUE(INDEX(IdClientes,MATCH(FMA2,Clientes,0))))</f>
        <v>#VALUE!</v>
      </c>
      <c r="FMB3" s="28" t="e" cm="1" vm="1">
        <f t="array" ref="FMB3">_xlfn._xlws.FILTER(Rutas,_xlfn._xlws.FILTER($B$2:$B$10000,$B$2:$B$10000&lt;&gt;"")=VALUE(INDEX(IdClientes,MATCH(FMB2,Clientes,0))))</f>
        <v>#VALUE!</v>
      </c>
      <c r="FMC3" s="28" t="e" cm="1" vm="1">
        <f t="array" ref="FMC3">_xlfn._xlws.FILTER(Rutas,_xlfn._xlws.FILTER($B$2:$B$10000,$B$2:$B$10000&lt;&gt;"")=VALUE(INDEX(IdClientes,MATCH(FMC2,Clientes,0))))</f>
        <v>#VALUE!</v>
      </c>
      <c r="FMD3" s="28" t="e" cm="1" vm="1">
        <f t="array" ref="FMD3">_xlfn._xlws.FILTER(Rutas,_xlfn._xlws.FILTER($B$2:$B$10000,$B$2:$B$10000&lt;&gt;"")=VALUE(INDEX(IdClientes,MATCH(FMD2,Clientes,0))))</f>
        <v>#VALUE!</v>
      </c>
      <c r="FME3" s="28" t="e" cm="1" vm="1">
        <f t="array" ref="FME3">_xlfn._xlws.FILTER(Rutas,_xlfn._xlws.FILTER($B$2:$B$10000,$B$2:$B$10000&lt;&gt;"")=VALUE(INDEX(IdClientes,MATCH(FME2,Clientes,0))))</f>
        <v>#VALUE!</v>
      </c>
      <c r="FMF3" s="28" t="e" cm="1" vm="1">
        <f t="array" ref="FMF3">_xlfn._xlws.FILTER(Rutas,_xlfn._xlws.FILTER($B$2:$B$10000,$B$2:$B$10000&lt;&gt;"")=VALUE(INDEX(IdClientes,MATCH(FMF2,Clientes,0))))</f>
        <v>#VALUE!</v>
      </c>
      <c r="FMG3" s="28" t="e" cm="1" vm="1">
        <f t="array" ref="FMG3">_xlfn._xlws.FILTER(Rutas,_xlfn._xlws.FILTER($B$2:$B$10000,$B$2:$B$10000&lt;&gt;"")=VALUE(INDEX(IdClientes,MATCH(FMG2,Clientes,0))))</f>
        <v>#VALUE!</v>
      </c>
      <c r="FMH3" s="28" t="e" cm="1" vm="1">
        <f t="array" ref="FMH3">_xlfn._xlws.FILTER(Rutas,_xlfn._xlws.FILTER($B$2:$B$10000,$B$2:$B$10000&lt;&gt;"")=VALUE(INDEX(IdClientes,MATCH(FMH2,Clientes,0))))</f>
        <v>#VALUE!</v>
      </c>
      <c r="FMI3" s="28" t="e" cm="1" vm="1">
        <f t="array" ref="FMI3">_xlfn._xlws.FILTER(Rutas,_xlfn._xlws.FILTER($B$2:$B$10000,$B$2:$B$10000&lt;&gt;"")=VALUE(INDEX(IdClientes,MATCH(FMI2,Clientes,0))))</f>
        <v>#VALUE!</v>
      </c>
      <c r="FMJ3" s="28" t="e" cm="1" vm="1">
        <f t="array" ref="FMJ3">_xlfn._xlws.FILTER(Rutas,_xlfn._xlws.FILTER($B$2:$B$10000,$B$2:$B$10000&lt;&gt;"")=VALUE(INDEX(IdClientes,MATCH(FMJ2,Clientes,0))))</f>
        <v>#VALUE!</v>
      </c>
      <c r="FMK3" s="28" t="e" cm="1" vm="1">
        <f t="array" ref="FMK3">_xlfn._xlws.FILTER(Rutas,_xlfn._xlws.FILTER($B$2:$B$10000,$B$2:$B$10000&lt;&gt;"")=VALUE(INDEX(IdClientes,MATCH(FMK2,Clientes,0))))</f>
        <v>#VALUE!</v>
      </c>
      <c r="FML3" s="28" t="e" cm="1" vm="1">
        <f t="array" ref="FML3">_xlfn._xlws.FILTER(Rutas,_xlfn._xlws.FILTER($B$2:$B$10000,$B$2:$B$10000&lt;&gt;"")=VALUE(INDEX(IdClientes,MATCH(FML2,Clientes,0))))</f>
        <v>#VALUE!</v>
      </c>
      <c r="FMM3" s="28" t="e" cm="1" vm="1">
        <f t="array" ref="FMM3">_xlfn._xlws.FILTER(Rutas,_xlfn._xlws.FILTER($B$2:$B$10000,$B$2:$B$10000&lt;&gt;"")=VALUE(INDEX(IdClientes,MATCH(FMM2,Clientes,0))))</f>
        <v>#VALUE!</v>
      </c>
      <c r="FMN3" s="28" t="e" cm="1" vm="1">
        <f t="array" ref="FMN3">_xlfn._xlws.FILTER(Rutas,_xlfn._xlws.FILTER($B$2:$B$10000,$B$2:$B$10000&lt;&gt;"")=VALUE(INDEX(IdClientes,MATCH(FMN2,Clientes,0))))</f>
        <v>#VALUE!</v>
      </c>
      <c r="FMO3" s="28" t="e" cm="1" vm="1">
        <f t="array" ref="FMO3">_xlfn._xlws.FILTER(Rutas,_xlfn._xlws.FILTER($B$2:$B$10000,$B$2:$B$10000&lt;&gt;"")=VALUE(INDEX(IdClientes,MATCH(FMO2,Clientes,0))))</f>
        <v>#VALUE!</v>
      </c>
      <c r="FMP3" s="28" t="e" cm="1" vm="1">
        <f t="array" ref="FMP3">_xlfn._xlws.FILTER(Rutas,_xlfn._xlws.FILTER($B$2:$B$10000,$B$2:$B$10000&lt;&gt;"")=VALUE(INDEX(IdClientes,MATCH(FMP2,Clientes,0))))</f>
        <v>#VALUE!</v>
      </c>
      <c r="FMQ3" s="28" t="e" cm="1" vm="1">
        <f t="array" ref="FMQ3">_xlfn._xlws.FILTER(Rutas,_xlfn._xlws.FILTER($B$2:$B$10000,$B$2:$B$10000&lt;&gt;"")=VALUE(INDEX(IdClientes,MATCH(FMQ2,Clientes,0))))</f>
        <v>#VALUE!</v>
      </c>
      <c r="FMR3" s="28" t="e" cm="1" vm="1">
        <f t="array" ref="FMR3">_xlfn._xlws.FILTER(Rutas,_xlfn._xlws.FILTER($B$2:$B$10000,$B$2:$B$10000&lt;&gt;"")=VALUE(INDEX(IdClientes,MATCH(FMR2,Clientes,0))))</f>
        <v>#VALUE!</v>
      </c>
      <c r="FMS3" s="28" t="e" cm="1" vm="1">
        <f t="array" ref="FMS3">_xlfn._xlws.FILTER(Rutas,_xlfn._xlws.FILTER($B$2:$B$10000,$B$2:$B$10000&lt;&gt;"")=VALUE(INDEX(IdClientes,MATCH(FMS2,Clientes,0))))</f>
        <v>#VALUE!</v>
      </c>
      <c r="FMT3" s="28" t="e" cm="1" vm="1">
        <f t="array" ref="FMT3">_xlfn._xlws.FILTER(Rutas,_xlfn._xlws.FILTER($B$2:$B$10000,$B$2:$B$10000&lt;&gt;"")=VALUE(INDEX(IdClientes,MATCH(FMT2,Clientes,0))))</f>
        <v>#VALUE!</v>
      </c>
      <c r="FMU3" s="28" t="e" cm="1" vm="1">
        <f t="array" ref="FMU3">_xlfn._xlws.FILTER(Rutas,_xlfn._xlws.FILTER($B$2:$B$10000,$B$2:$B$10000&lt;&gt;"")=VALUE(INDEX(IdClientes,MATCH(FMU2,Clientes,0))))</f>
        <v>#VALUE!</v>
      </c>
      <c r="FMV3" s="28" t="e" cm="1" vm="1">
        <f t="array" ref="FMV3">_xlfn._xlws.FILTER(Rutas,_xlfn._xlws.FILTER($B$2:$B$10000,$B$2:$B$10000&lt;&gt;"")=VALUE(INDEX(IdClientes,MATCH(FMV2,Clientes,0))))</f>
        <v>#VALUE!</v>
      </c>
      <c r="FMW3" s="28" t="e" cm="1" vm="1">
        <f t="array" ref="FMW3">_xlfn._xlws.FILTER(Rutas,_xlfn._xlws.FILTER($B$2:$B$10000,$B$2:$B$10000&lt;&gt;"")=VALUE(INDEX(IdClientes,MATCH(FMW2,Clientes,0))))</f>
        <v>#VALUE!</v>
      </c>
      <c r="FMX3" s="28" t="e" cm="1" vm="1">
        <f t="array" ref="FMX3">_xlfn._xlws.FILTER(Rutas,_xlfn._xlws.FILTER($B$2:$B$10000,$B$2:$B$10000&lt;&gt;"")=VALUE(INDEX(IdClientes,MATCH(FMX2,Clientes,0))))</f>
        <v>#VALUE!</v>
      </c>
      <c r="FMY3" s="28" t="e" cm="1" vm="1">
        <f t="array" ref="FMY3">_xlfn._xlws.FILTER(Rutas,_xlfn._xlws.FILTER($B$2:$B$10000,$B$2:$B$10000&lt;&gt;"")=VALUE(INDEX(IdClientes,MATCH(FMY2,Clientes,0))))</f>
        <v>#VALUE!</v>
      </c>
      <c r="FMZ3" s="28" t="e" cm="1" vm="1">
        <f t="array" ref="FMZ3">_xlfn._xlws.FILTER(Rutas,_xlfn._xlws.FILTER($B$2:$B$10000,$B$2:$B$10000&lt;&gt;"")=VALUE(INDEX(IdClientes,MATCH(FMZ2,Clientes,0))))</f>
        <v>#VALUE!</v>
      </c>
      <c r="FNA3" s="28" t="e" cm="1" vm="1">
        <f t="array" ref="FNA3">_xlfn._xlws.FILTER(Rutas,_xlfn._xlws.FILTER($B$2:$B$10000,$B$2:$B$10000&lt;&gt;"")=VALUE(INDEX(IdClientes,MATCH(FNA2,Clientes,0))))</f>
        <v>#VALUE!</v>
      </c>
      <c r="FNB3" s="28" t="e" cm="1" vm="1">
        <f t="array" ref="FNB3">_xlfn._xlws.FILTER(Rutas,_xlfn._xlws.FILTER($B$2:$B$10000,$B$2:$B$10000&lt;&gt;"")=VALUE(INDEX(IdClientes,MATCH(FNB2,Clientes,0))))</f>
        <v>#VALUE!</v>
      </c>
      <c r="FNC3" s="28" t="e" cm="1" vm="1">
        <f t="array" ref="FNC3">_xlfn._xlws.FILTER(Rutas,_xlfn._xlws.FILTER($B$2:$B$10000,$B$2:$B$10000&lt;&gt;"")=VALUE(INDEX(IdClientes,MATCH(FNC2,Clientes,0))))</f>
        <v>#VALUE!</v>
      </c>
      <c r="FND3" s="28" t="e" cm="1" vm="1">
        <f t="array" ref="FND3">_xlfn._xlws.FILTER(Rutas,_xlfn._xlws.FILTER($B$2:$B$10000,$B$2:$B$10000&lt;&gt;"")=VALUE(INDEX(IdClientes,MATCH(FND2,Clientes,0))))</f>
        <v>#VALUE!</v>
      </c>
      <c r="FNE3" s="28" t="e" cm="1" vm="1">
        <f t="array" ref="FNE3">_xlfn._xlws.FILTER(Rutas,_xlfn._xlws.FILTER($B$2:$B$10000,$B$2:$B$10000&lt;&gt;"")=VALUE(INDEX(IdClientes,MATCH(FNE2,Clientes,0))))</f>
        <v>#VALUE!</v>
      </c>
      <c r="FNF3" s="28" t="e" cm="1" vm="1">
        <f t="array" ref="FNF3">_xlfn._xlws.FILTER(Rutas,_xlfn._xlws.FILTER($B$2:$B$10000,$B$2:$B$10000&lt;&gt;"")=VALUE(INDEX(IdClientes,MATCH(FNF2,Clientes,0))))</f>
        <v>#VALUE!</v>
      </c>
      <c r="FNG3" s="28" t="e" cm="1" vm="1">
        <f t="array" ref="FNG3">_xlfn._xlws.FILTER(Rutas,_xlfn._xlws.FILTER($B$2:$B$10000,$B$2:$B$10000&lt;&gt;"")=VALUE(INDEX(IdClientes,MATCH(FNG2,Clientes,0))))</f>
        <v>#VALUE!</v>
      </c>
      <c r="FNH3" s="28" t="e" cm="1" vm="1">
        <f t="array" ref="FNH3">_xlfn._xlws.FILTER(Rutas,_xlfn._xlws.FILTER($B$2:$B$10000,$B$2:$B$10000&lt;&gt;"")=VALUE(INDEX(IdClientes,MATCH(FNH2,Clientes,0))))</f>
        <v>#VALUE!</v>
      </c>
      <c r="FNI3" s="28" t="e" cm="1" vm="1">
        <f t="array" ref="FNI3">_xlfn._xlws.FILTER(Rutas,_xlfn._xlws.FILTER($B$2:$B$10000,$B$2:$B$10000&lt;&gt;"")=VALUE(INDEX(IdClientes,MATCH(FNI2,Clientes,0))))</f>
        <v>#VALUE!</v>
      </c>
      <c r="FNJ3" s="28" t="e" cm="1" vm="1">
        <f t="array" ref="FNJ3">_xlfn._xlws.FILTER(Rutas,_xlfn._xlws.FILTER($B$2:$B$10000,$B$2:$B$10000&lt;&gt;"")=VALUE(INDEX(IdClientes,MATCH(FNJ2,Clientes,0))))</f>
        <v>#VALUE!</v>
      </c>
      <c r="FNK3" s="28" t="e" cm="1" vm="1">
        <f t="array" ref="FNK3">_xlfn._xlws.FILTER(Rutas,_xlfn._xlws.FILTER($B$2:$B$10000,$B$2:$B$10000&lt;&gt;"")=VALUE(INDEX(IdClientes,MATCH(FNK2,Clientes,0))))</f>
        <v>#VALUE!</v>
      </c>
      <c r="FNL3" s="28" t="e" cm="1" vm="1">
        <f t="array" ref="FNL3">_xlfn._xlws.FILTER(Rutas,_xlfn._xlws.FILTER($B$2:$B$10000,$B$2:$B$10000&lt;&gt;"")=VALUE(INDEX(IdClientes,MATCH(FNL2,Clientes,0))))</f>
        <v>#VALUE!</v>
      </c>
      <c r="FNM3" s="28" t="e" cm="1" vm="1">
        <f t="array" ref="FNM3">_xlfn._xlws.FILTER(Rutas,_xlfn._xlws.FILTER($B$2:$B$10000,$B$2:$B$10000&lt;&gt;"")=VALUE(INDEX(IdClientes,MATCH(FNM2,Clientes,0))))</f>
        <v>#VALUE!</v>
      </c>
      <c r="FNN3" s="28" t="e" cm="1" vm="1">
        <f t="array" ref="FNN3">_xlfn._xlws.FILTER(Rutas,_xlfn._xlws.FILTER($B$2:$B$10000,$B$2:$B$10000&lt;&gt;"")=VALUE(INDEX(IdClientes,MATCH(FNN2,Clientes,0))))</f>
        <v>#VALUE!</v>
      </c>
      <c r="FNO3" s="28" t="e" cm="1" vm="1">
        <f t="array" ref="FNO3">_xlfn._xlws.FILTER(Rutas,_xlfn._xlws.FILTER($B$2:$B$10000,$B$2:$B$10000&lt;&gt;"")=VALUE(INDEX(IdClientes,MATCH(FNO2,Clientes,0))))</f>
        <v>#VALUE!</v>
      </c>
      <c r="FNP3" s="28" t="e" cm="1" vm="1">
        <f t="array" ref="FNP3">_xlfn._xlws.FILTER(Rutas,_xlfn._xlws.FILTER($B$2:$B$10000,$B$2:$B$10000&lt;&gt;"")=VALUE(INDEX(IdClientes,MATCH(FNP2,Clientes,0))))</f>
        <v>#VALUE!</v>
      </c>
      <c r="FNQ3" s="28" t="e" cm="1" vm="1">
        <f t="array" ref="FNQ3">_xlfn._xlws.FILTER(Rutas,_xlfn._xlws.FILTER($B$2:$B$10000,$B$2:$B$10000&lt;&gt;"")=VALUE(INDEX(IdClientes,MATCH(FNQ2,Clientes,0))))</f>
        <v>#VALUE!</v>
      </c>
      <c r="FNR3" s="28" t="e" cm="1" vm="1">
        <f t="array" ref="FNR3">_xlfn._xlws.FILTER(Rutas,_xlfn._xlws.FILTER($B$2:$B$10000,$B$2:$B$10000&lt;&gt;"")=VALUE(INDEX(IdClientes,MATCH(FNR2,Clientes,0))))</f>
        <v>#VALUE!</v>
      </c>
      <c r="FNS3" s="28" t="e" cm="1" vm="1">
        <f t="array" ref="FNS3">_xlfn._xlws.FILTER(Rutas,_xlfn._xlws.FILTER($B$2:$B$10000,$B$2:$B$10000&lt;&gt;"")=VALUE(INDEX(IdClientes,MATCH(FNS2,Clientes,0))))</f>
        <v>#VALUE!</v>
      </c>
      <c r="FNT3" s="28" t="e" cm="1" vm="1">
        <f t="array" ref="FNT3">_xlfn._xlws.FILTER(Rutas,_xlfn._xlws.FILTER($B$2:$B$10000,$B$2:$B$10000&lt;&gt;"")=VALUE(INDEX(IdClientes,MATCH(FNT2,Clientes,0))))</f>
        <v>#VALUE!</v>
      </c>
      <c r="FNU3" s="28" t="e" cm="1" vm="1">
        <f t="array" ref="FNU3">_xlfn._xlws.FILTER(Rutas,_xlfn._xlws.FILTER($B$2:$B$10000,$B$2:$B$10000&lt;&gt;"")=VALUE(INDEX(IdClientes,MATCH(FNU2,Clientes,0))))</f>
        <v>#VALUE!</v>
      </c>
      <c r="FNV3" s="28" t="e" cm="1" vm="1">
        <f t="array" ref="FNV3">_xlfn._xlws.FILTER(Rutas,_xlfn._xlws.FILTER($B$2:$B$10000,$B$2:$B$10000&lt;&gt;"")=VALUE(INDEX(IdClientes,MATCH(FNV2,Clientes,0))))</f>
        <v>#VALUE!</v>
      </c>
      <c r="FNW3" s="28" t="e" cm="1" vm="1">
        <f t="array" ref="FNW3">_xlfn._xlws.FILTER(Rutas,_xlfn._xlws.FILTER($B$2:$B$10000,$B$2:$B$10000&lt;&gt;"")=VALUE(INDEX(IdClientes,MATCH(FNW2,Clientes,0))))</f>
        <v>#VALUE!</v>
      </c>
      <c r="FNX3" s="28" t="e" cm="1" vm="1">
        <f t="array" ref="FNX3">_xlfn._xlws.FILTER(Rutas,_xlfn._xlws.FILTER($B$2:$B$10000,$B$2:$B$10000&lt;&gt;"")=VALUE(INDEX(IdClientes,MATCH(FNX2,Clientes,0))))</f>
        <v>#VALUE!</v>
      </c>
      <c r="FNY3" s="28" t="e" cm="1" vm="1">
        <f t="array" ref="FNY3">_xlfn._xlws.FILTER(Rutas,_xlfn._xlws.FILTER($B$2:$B$10000,$B$2:$B$10000&lt;&gt;"")=VALUE(INDEX(IdClientes,MATCH(FNY2,Clientes,0))))</f>
        <v>#VALUE!</v>
      </c>
      <c r="FNZ3" s="28" t="e" cm="1" vm="1">
        <f t="array" ref="FNZ3">_xlfn._xlws.FILTER(Rutas,_xlfn._xlws.FILTER($B$2:$B$10000,$B$2:$B$10000&lt;&gt;"")=VALUE(INDEX(IdClientes,MATCH(FNZ2,Clientes,0))))</f>
        <v>#VALUE!</v>
      </c>
      <c r="FOA3" s="28" t="e" cm="1" vm="1">
        <f t="array" ref="FOA3">_xlfn._xlws.FILTER(Rutas,_xlfn._xlws.FILTER($B$2:$B$10000,$B$2:$B$10000&lt;&gt;"")=VALUE(INDEX(IdClientes,MATCH(FOA2,Clientes,0))))</f>
        <v>#VALUE!</v>
      </c>
      <c r="FOB3" s="28" t="e" cm="1" vm="1">
        <f t="array" ref="FOB3">_xlfn._xlws.FILTER(Rutas,_xlfn._xlws.FILTER($B$2:$B$10000,$B$2:$B$10000&lt;&gt;"")=VALUE(INDEX(IdClientes,MATCH(FOB2,Clientes,0))))</f>
        <v>#VALUE!</v>
      </c>
      <c r="FOC3" s="28" t="e" cm="1" vm="1">
        <f t="array" ref="FOC3">_xlfn._xlws.FILTER(Rutas,_xlfn._xlws.FILTER($B$2:$B$10000,$B$2:$B$10000&lt;&gt;"")=VALUE(INDEX(IdClientes,MATCH(FOC2,Clientes,0))))</f>
        <v>#VALUE!</v>
      </c>
      <c r="FOD3" s="28" t="e" cm="1" vm="1">
        <f t="array" ref="FOD3">_xlfn._xlws.FILTER(Rutas,_xlfn._xlws.FILTER($B$2:$B$10000,$B$2:$B$10000&lt;&gt;"")=VALUE(INDEX(IdClientes,MATCH(FOD2,Clientes,0))))</f>
        <v>#VALUE!</v>
      </c>
      <c r="FOE3" s="28" t="e" cm="1" vm="1">
        <f t="array" ref="FOE3">_xlfn._xlws.FILTER(Rutas,_xlfn._xlws.FILTER($B$2:$B$10000,$B$2:$B$10000&lt;&gt;"")=VALUE(INDEX(IdClientes,MATCH(FOE2,Clientes,0))))</f>
        <v>#VALUE!</v>
      </c>
      <c r="FOF3" s="28" t="e" cm="1" vm="1">
        <f t="array" ref="FOF3">_xlfn._xlws.FILTER(Rutas,_xlfn._xlws.FILTER($B$2:$B$10000,$B$2:$B$10000&lt;&gt;"")=VALUE(INDEX(IdClientes,MATCH(FOF2,Clientes,0))))</f>
        <v>#VALUE!</v>
      </c>
      <c r="FOG3" s="28" t="e" cm="1" vm="1">
        <f t="array" ref="FOG3">_xlfn._xlws.FILTER(Rutas,_xlfn._xlws.FILTER($B$2:$B$10000,$B$2:$B$10000&lt;&gt;"")=VALUE(INDEX(IdClientes,MATCH(FOG2,Clientes,0))))</f>
        <v>#VALUE!</v>
      </c>
      <c r="FOH3" s="28" t="e" cm="1" vm="1">
        <f t="array" ref="FOH3">_xlfn._xlws.FILTER(Rutas,_xlfn._xlws.FILTER($B$2:$B$10000,$B$2:$B$10000&lt;&gt;"")=VALUE(INDEX(IdClientes,MATCH(FOH2,Clientes,0))))</f>
        <v>#VALUE!</v>
      </c>
      <c r="FOI3" s="28" t="e" cm="1" vm="1">
        <f t="array" ref="FOI3">_xlfn._xlws.FILTER(Rutas,_xlfn._xlws.FILTER($B$2:$B$10000,$B$2:$B$10000&lt;&gt;"")=VALUE(INDEX(IdClientes,MATCH(FOI2,Clientes,0))))</f>
        <v>#VALUE!</v>
      </c>
      <c r="FOJ3" s="28" t="e" cm="1" vm="1">
        <f t="array" ref="FOJ3">_xlfn._xlws.FILTER(Rutas,_xlfn._xlws.FILTER($B$2:$B$10000,$B$2:$B$10000&lt;&gt;"")=VALUE(INDEX(IdClientes,MATCH(FOJ2,Clientes,0))))</f>
        <v>#VALUE!</v>
      </c>
      <c r="FOK3" s="28" t="e" cm="1" vm="1">
        <f t="array" ref="FOK3">_xlfn._xlws.FILTER(Rutas,_xlfn._xlws.FILTER($B$2:$B$10000,$B$2:$B$10000&lt;&gt;"")=VALUE(INDEX(IdClientes,MATCH(FOK2,Clientes,0))))</f>
        <v>#VALUE!</v>
      </c>
      <c r="FOL3" s="28" t="e" cm="1" vm="1">
        <f t="array" ref="FOL3">_xlfn._xlws.FILTER(Rutas,_xlfn._xlws.FILTER($B$2:$B$10000,$B$2:$B$10000&lt;&gt;"")=VALUE(INDEX(IdClientes,MATCH(FOL2,Clientes,0))))</f>
        <v>#VALUE!</v>
      </c>
      <c r="FOM3" s="28" t="e" cm="1" vm="1">
        <f t="array" ref="FOM3">_xlfn._xlws.FILTER(Rutas,_xlfn._xlws.FILTER($B$2:$B$10000,$B$2:$B$10000&lt;&gt;"")=VALUE(INDEX(IdClientes,MATCH(FOM2,Clientes,0))))</f>
        <v>#VALUE!</v>
      </c>
      <c r="FON3" s="28" t="e" cm="1" vm="1">
        <f t="array" ref="FON3">_xlfn._xlws.FILTER(Rutas,_xlfn._xlws.FILTER($B$2:$B$10000,$B$2:$B$10000&lt;&gt;"")=VALUE(INDEX(IdClientes,MATCH(FON2,Clientes,0))))</f>
        <v>#VALUE!</v>
      </c>
      <c r="FOO3" s="28" t="e" cm="1" vm="1">
        <f t="array" ref="FOO3">_xlfn._xlws.FILTER(Rutas,_xlfn._xlws.FILTER($B$2:$B$10000,$B$2:$B$10000&lt;&gt;"")=VALUE(INDEX(IdClientes,MATCH(FOO2,Clientes,0))))</f>
        <v>#VALUE!</v>
      </c>
      <c r="FOP3" s="28" t="e" cm="1" vm="1">
        <f t="array" ref="FOP3">_xlfn._xlws.FILTER(Rutas,_xlfn._xlws.FILTER($B$2:$B$10000,$B$2:$B$10000&lt;&gt;"")=VALUE(INDEX(IdClientes,MATCH(FOP2,Clientes,0))))</f>
        <v>#VALUE!</v>
      </c>
      <c r="FOQ3" s="28" t="e" cm="1" vm="1">
        <f t="array" ref="FOQ3">_xlfn._xlws.FILTER(Rutas,_xlfn._xlws.FILTER($B$2:$B$10000,$B$2:$B$10000&lt;&gt;"")=VALUE(INDEX(IdClientes,MATCH(FOQ2,Clientes,0))))</f>
        <v>#VALUE!</v>
      </c>
      <c r="FOR3" s="28" t="e" cm="1" vm="1">
        <f t="array" ref="FOR3">_xlfn._xlws.FILTER(Rutas,_xlfn._xlws.FILTER($B$2:$B$10000,$B$2:$B$10000&lt;&gt;"")=VALUE(INDEX(IdClientes,MATCH(FOR2,Clientes,0))))</f>
        <v>#VALUE!</v>
      </c>
      <c r="FOS3" s="28" t="e" cm="1" vm="1">
        <f t="array" ref="FOS3">_xlfn._xlws.FILTER(Rutas,_xlfn._xlws.FILTER($B$2:$B$10000,$B$2:$B$10000&lt;&gt;"")=VALUE(INDEX(IdClientes,MATCH(FOS2,Clientes,0))))</f>
        <v>#VALUE!</v>
      </c>
      <c r="FOT3" s="28" t="e" cm="1" vm="1">
        <f t="array" ref="FOT3">_xlfn._xlws.FILTER(Rutas,_xlfn._xlws.FILTER($B$2:$B$10000,$B$2:$B$10000&lt;&gt;"")=VALUE(INDEX(IdClientes,MATCH(FOT2,Clientes,0))))</f>
        <v>#VALUE!</v>
      </c>
      <c r="FOU3" s="28" t="e" cm="1" vm="1">
        <f t="array" ref="FOU3">_xlfn._xlws.FILTER(Rutas,_xlfn._xlws.FILTER($B$2:$B$10000,$B$2:$B$10000&lt;&gt;"")=VALUE(INDEX(IdClientes,MATCH(FOU2,Clientes,0))))</f>
        <v>#VALUE!</v>
      </c>
      <c r="FOV3" s="28" t="e" cm="1" vm="1">
        <f t="array" ref="FOV3">_xlfn._xlws.FILTER(Rutas,_xlfn._xlws.FILTER($B$2:$B$10000,$B$2:$B$10000&lt;&gt;"")=VALUE(INDEX(IdClientes,MATCH(FOV2,Clientes,0))))</f>
        <v>#VALUE!</v>
      </c>
      <c r="FOW3" s="28" t="e" cm="1" vm="1">
        <f t="array" ref="FOW3">_xlfn._xlws.FILTER(Rutas,_xlfn._xlws.FILTER($B$2:$B$10000,$B$2:$B$10000&lt;&gt;"")=VALUE(INDEX(IdClientes,MATCH(FOW2,Clientes,0))))</f>
        <v>#VALUE!</v>
      </c>
      <c r="FOX3" s="28" t="e" cm="1" vm="1">
        <f t="array" ref="FOX3">_xlfn._xlws.FILTER(Rutas,_xlfn._xlws.FILTER($B$2:$B$10000,$B$2:$B$10000&lt;&gt;"")=VALUE(INDEX(IdClientes,MATCH(FOX2,Clientes,0))))</f>
        <v>#VALUE!</v>
      </c>
      <c r="FOY3" s="28" t="e" cm="1" vm="1">
        <f t="array" ref="FOY3">_xlfn._xlws.FILTER(Rutas,_xlfn._xlws.FILTER($B$2:$B$10000,$B$2:$B$10000&lt;&gt;"")=VALUE(INDEX(IdClientes,MATCH(FOY2,Clientes,0))))</f>
        <v>#VALUE!</v>
      </c>
      <c r="FOZ3" s="28" t="e" cm="1" vm="1">
        <f t="array" ref="FOZ3">_xlfn._xlws.FILTER(Rutas,_xlfn._xlws.FILTER($B$2:$B$10000,$B$2:$B$10000&lt;&gt;"")=VALUE(INDEX(IdClientes,MATCH(FOZ2,Clientes,0))))</f>
        <v>#VALUE!</v>
      </c>
      <c r="FPA3" s="28" t="e" cm="1" vm="1">
        <f t="array" ref="FPA3">_xlfn._xlws.FILTER(Rutas,_xlfn._xlws.FILTER($B$2:$B$10000,$B$2:$B$10000&lt;&gt;"")=VALUE(INDEX(IdClientes,MATCH(FPA2,Clientes,0))))</f>
        <v>#VALUE!</v>
      </c>
      <c r="FPB3" s="28" t="e" cm="1" vm="1">
        <f t="array" ref="FPB3">_xlfn._xlws.FILTER(Rutas,_xlfn._xlws.FILTER($B$2:$B$10000,$B$2:$B$10000&lt;&gt;"")=VALUE(INDEX(IdClientes,MATCH(FPB2,Clientes,0))))</f>
        <v>#VALUE!</v>
      </c>
      <c r="FPC3" s="28" t="e" cm="1" vm="1">
        <f t="array" ref="FPC3">_xlfn._xlws.FILTER(Rutas,_xlfn._xlws.FILTER($B$2:$B$10000,$B$2:$B$10000&lt;&gt;"")=VALUE(INDEX(IdClientes,MATCH(FPC2,Clientes,0))))</f>
        <v>#VALUE!</v>
      </c>
      <c r="FPD3" s="28" t="e" cm="1" vm="1">
        <f t="array" ref="FPD3">_xlfn._xlws.FILTER(Rutas,_xlfn._xlws.FILTER($B$2:$B$10000,$B$2:$B$10000&lt;&gt;"")=VALUE(INDEX(IdClientes,MATCH(FPD2,Clientes,0))))</f>
        <v>#VALUE!</v>
      </c>
      <c r="FPE3" s="28" t="e" cm="1" vm="1">
        <f t="array" ref="FPE3">_xlfn._xlws.FILTER(Rutas,_xlfn._xlws.FILTER($B$2:$B$10000,$B$2:$B$10000&lt;&gt;"")=VALUE(INDEX(IdClientes,MATCH(FPE2,Clientes,0))))</f>
        <v>#VALUE!</v>
      </c>
      <c r="FPF3" s="28" t="e" cm="1" vm="1">
        <f t="array" ref="FPF3">_xlfn._xlws.FILTER(Rutas,_xlfn._xlws.FILTER($B$2:$B$10000,$B$2:$B$10000&lt;&gt;"")=VALUE(INDEX(IdClientes,MATCH(FPF2,Clientes,0))))</f>
        <v>#VALUE!</v>
      </c>
      <c r="FPG3" s="28" t="e" cm="1" vm="1">
        <f t="array" ref="FPG3">_xlfn._xlws.FILTER(Rutas,_xlfn._xlws.FILTER($B$2:$B$10000,$B$2:$B$10000&lt;&gt;"")=VALUE(INDEX(IdClientes,MATCH(FPG2,Clientes,0))))</f>
        <v>#VALUE!</v>
      </c>
      <c r="FPH3" s="28" t="e" cm="1" vm="1">
        <f t="array" ref="FPH3">_xlfn._xlws.FILTER(Rutas,_xlfn._xlws.FILTER($B$2:$B$10000,$B$2:$B$10000&lt;&gt;"")=VALUE(INDEX(IdClientes,MATCH(FPH2,Clientes,0))))</f>
        <v>#VALUE!</v>
      </c>
      <c r="FPI3" s="28" t="e" cm="1" vm="1">
        <f t="array" ref="FPI3">_xlfn._xlws.FILTER(Rutas,_xlfn._xlws.FILTER($B$2:$B$10000,$B$2:$B$10000&lt;&gt;"")=VALUE(INDEX(IdClientes,MATCH(FPI2,Clientes,0))))</f>
        <v>#VALUE!</v>
      </c>
      <c r="FPJ3" s="28" t="e" cm="1" vm="1">
        <f t="array" ref="FPJ3">_xlfn._xlws.FILTER(Rutas,_xlfn._xlws.FILTER($B$2:$B$10000,$B$2:$B$10000&lt;&gt;"")=VALUE(INDEX(IdClientes,MATCH(FPJ2,Clientes,0))))</f>
        <v>#VALUE!</v>
      </c>
      <c r="FPK3" s="28" t="e" cm="1" vm="1">
        <f t="array" ref="FPK3">_xlfn._xlws.FILTER(Rutas,_xlfn._xlws.FILTER($B$2:$B$10000,$B$2:$B$10000&lt;&gt;"")=VALUE(INDEX(IdClientes,MATCH(FPK2,Clientes,0))))</f>
        <v>#VALUE!</v>
      </c>
      <c r="FPL3" s="28" t="e" cm="1" vm="1">
        <f t="array" ref="FPL3">_xlfn._xlws.FILTER(Rutas,_xlfn._xlws.FILTER($B$2:$B$10000,$B$2:$B$10000&lt;&gt;"")=VALUE(INDEX(IdClientes,MATCH(FPL2,Clientes,0))))</f>
        <v>#VALUE!</v>
      </c>
      <c r="FPM3" s="28" t="e" cm="1" vm="1">
        <f t="array" ref="FPM3">_xlfn._xlws.FILTER(Rutas,_xlfn._xlws.FILTER($B$2:$B$10000,$B$2:$B$10000&lt;&gt;"")=VALUE(INDEX(IdClientes,MATCH(FPM2,Clientes,0))))</f>
        <v>#VALUE!</v>
      </c>
      <c r="FPN3" s="28" t="e" cm="1" vm="1">
        <f t="array" ref="FPN3">_xlfn._xlws.FILTER(Rutas,_xlfn._xlws.FILTER($B$2:$B$10000,$B$2:$B$10000&lt;&gt;"")=VALUE(INDEX(IdClientes,MATCH(FPN2,Clientes,0))))</f>
        <v>#VALUE!</v>
      </c>
      <c r="FPO3" s="28" t="e" cm="1" vm="1">
        <f t="array" ref="FPO3">_xlfn._xlws.FILTER(Rutas,_xlfn._xlws.FILTER($B$2:$B$10000,$B$2:$B$10000&lt;&gt;"")=VALUE(INDEX(IdClientes,MATCH(FPO2,Clientes,0))))</f>
        <v>#VALUE!</v>
      </c>
      <c r="FPP3" s="28" t="e" cm="1" vm="1">
        <f t="array" ref="FPP3">_xlfn._xlws.FILTER(Rutas,_xlfn._xlws.FILTER($B$2:$B$10000,$B$2:$B$10000&lt;&gt;"")=VALUE(INDEX(IdClientes,MATCH(FPP2,Clientes,0))))</f>
        <v>#VALUE!</v>
      </c>
      <c r="FPQ3" s="28" t="e" cm="1" vm="1">
        <f t="array" ref="FPQ3">_xlfn._xlws.FILTER(Rutas,_xlfn._xlws.FILTER($B$2:$B$10000,$B$2:$B$10000&lt;&gt;"")=VALUE(INDEX(IdClientes,MATCH(FPQ2,Clientes,0))))</f>
        <v>#VALUE!</v>
      </c>
      <c r="FPR3" s="28" t="e" cm="1" vm="1">
        <f t="array" ref="FPR3">_xlfn._xlws.FILTER(Rutas,_xlfn._xlws.FILTER($B$2:$B$10000,$B$2:$B$10000&lt;&gt;"")=VALUE(INDEX(IdClientes,MATCH(FPR2,Clientes,0))))</f>
        <v>#VALUE!</v>
      </c>
      <c r="FPS3" s="28" t="e" cm="1" vm="1">
        <f t="array" ref="FPS3">_xlfn._xlws.FILTER(Rutas,_xlfn._xlws.FILTER($B$2:$B$10000,$B$2:$B$10000&lt;&gt;"")=VALUE(INDEX(IdClientes,MATCH(FPS2,Clientes,0))))</f>
        <v>#VALUE!</v>
      </c>
      <c r="FPT3" s="28" t="e" cm="1" vm="1">
        <f t="array" ref="FPT3">_xlfn._xlws.FILTER(Rutas,_xlfn._xlws.FILTER($B$2:$B$10000,$B$2:$B$10000&lt;&gt;"")=VALUE(INDEX(IdClientes,MATCH(FPT2,Clientes,0))))</f>
        <v>#VALUE!</v>
      </c>
      <c r="FPU3" s="28" t="e" cm="1" vm="1">
        <f t="array" ref="FPU3">_xlfn._xlws.FILTER(Rutas,_xlfn._xlws.FILTER($B$2:$B$10000,$B$2:$B$10000&lt;&gt;"")=VALUE(INDEX(IdClientes,MATCH(FPU2,Clientes,0))))</f>
        <v>#VALUE!</v>
      </c>
      <c r="FPV3" s="28" t="e" cm="1" vm="1">
        <f t="array" ref="FPV3">_xlfn._xlws.FILTER(Rutas,_xlfn._xlws.FILTER($B$2:$B$10000,$B$2:$B$10000&lt;&gt;"")=VALUE(INDEX(IdClientes,MATCH(FPV2,Clientes,0))))</f>
        <v>#VALUE!</v>
      </c>
      <c r="FPW3" s="28" t="e" cm="1" vm="1">
        <f t="array" ref="FPW3">_xlfn._xlws.FILTER(Rutas,_xlfn._xlws.FILTER($B$2:$B$10000,$B$2:$B$10000&lt;&gt;"")=VALUE(INDEX(IdClientes,MATCH(FPW2,Clientes,0))))</f>
        <v>#VALUE!</v>
      </c>
      <c r="FPX3" s="28" t="e" cm="1" vm="1">
        <f t="array" ref="FPX3">_xlfn._xlws.FILTER(Rutas,_xlfn._xlws.FILTER($B$2:$B$10000,$B$2:$B$10000&lt;&gt;"")=VALUE(INDEX(IdClientes,MATCH(FPX2,Clientes,0))))</f>
        <v>#VALUE!</v>
      </c>
      <c r="FPY3" s="28" t="e" cm="1" vm="1">
        <f t="array" ref="FPY3">_xlfn._xlws.FILTER(Rutas,_xlfn._xlws.FILTER($B$2:$B$10000,$B$2:$B$10000&lt;&gt;"")=VALUE(INDEX(IdClientes,MATCH(FPY2,Clientes,0))))</f>
        <v>#VALUE!</v>
      </c>
      <c r="FPZ3" s="28" t="e" cm="1" vm="1">
        <f t="array" ref="FPZ3">_xlfn._xlws.FILTER(Rutas,_xlfn._xlws.FILTER($B$2:$B$10000,$B$2:$B$10000&lt;&gt;"")=VALUE(INDEX(IdClientes,MATCH(FPZ2,Clientes,0))))</f>
        <v>#VALUE!</v>
      </c>
      <c r="FQA3" s="28" t="e" cm="1" vm="1">
        <f t="array" ref="FQA3">_xlfn._xlws.FILTER(Rutas,_xlfn._xlws.FILTER($B$2:$B$10000,$B$2:$B$10000&lt;&gt;"")=VALUE(INDEX(IdClientes,MATCH(FQA2,Clientes,0))))</f>
        <v>#VALUE!</v>
      </c>
      <c r="FQB3" s="28" t="e" cm="1" vm="1">
        <f t="array" ref="FQB3">_xlfn._xlws.FILTER(Rutas,_xlfn._xlws.FILTER($B$2:$B$10000,$B$2:$B$10000&lt;&gt;"")=VALUE(INDEX(IdClientes,MATCH(FQB2,Clientes,0))))</f>
        <v>#VALUE!</v>
      </c>
      <c r="FQC3" s="28" t="e" cm="1" vm="1">
        <f t="array" ref="FQC3">_xlfn._xlws.FILTER(Rutas,_xlfn._xlws.FILTER($B$2:$B$10000,$B$2:$B$10000&lt;&gt;"")=VALUE(INDEX(IdClientes,MATCH(FQC2,Clientes,0))))</f>
        <v>#VALUE!</v>
      </c>
      <c r="FQD3" s="28" t="e" cm="1" vm="1">
        <f t="array" ref="FQD3">_xlfn._xlws.FILTER(Rutas,_xlfn._xlws.FILTER($B$2:$B$10000,$B$2:$B$10000&lt;&gt;"")=VALUE(INDEX(IdClientes,MATCH(FQD2,Clientes,0))))</f>
        <v>#VALUE!</v>
      </c>
      <c r="FQE3" s="28" t="e" cm="1" vm="1">
        <f t="array" ref="FQE3">_xlfn._xlws.FILTER(Rutas,_xlfn._xlws.FILTER($B$2:$B$10000,$B$2:$B$10000&lt;&gt;"")=VALUE(INDEX(IdClientes,MATCH(FQE2,Clientes,0))))</f>
        <v>#VALUE!</v>
      </c>
      <c r="FQF3" s="28" t="e" cm="1" vm="1">
        <f t="array" ref="FQF3">_xlfn._xlws.FILTER(Rutas,_xlfn._xlws.FILTER($B$2:$B$10000,$B$2:$B$10000&lt;&gt;"")=VALUE(INDEX(IdClientes,MATCH(FQF2,Clientes,0))))</f>
        <v>#VALUE!</v>
      </c>
      <c r="FQG3" s="28" t="e" cm="1" vm="1">
        <f t="array" ref="FQG3">_xlfn._xlws.FILTER(Rutas,_xlfn._xlws.FILTER($B$2:$B$10000,$B$2:$B$10000&lt;&gt;"")=VALUE(INDEX(IdClientes,MATCH(FQG2,Clientes,0))))</f>
        <v>#VALUE!</v>
      </c>
      <c r="FQH3" s="28" t="e" cm="1" vm="1">
        <f t="array" ref="FQH3">_xlfn._xlws.FILTER(Rutas,_xlfn._xlws.FILTER($B$2:$B$10000,$B$2:$B$10000&lt;&gt;"")=VALUE(INDEX(IdClientes,MATCH(FQH2,Clientes,0))))</f>
        <v>#VALUE!</v>
      </c>
      <c r="FQI3" s="28" t="e" cm="1" vm="1">
        <f t="array" ref="FQI3">_xlfn._xlws.FILTER(Rutas,_xlfn._xlws.FILTER($B$2:$B$10000,$B$2:$B$10000&lt;&gt;"")=VALUE(INDEX(IdClientes,MATCH(FQI2,Clientes,0))))</f>
        <v>#VALUE!</v>
      </c>
      <c r="FQJ3" s="28" t="e" cm="1" vm="1">
        <f t="array" ref="FQJ3">_xlfn._xlws.FILTER(Rutas,_xlfn._xlws.FILTER($B$2:$B$10000,$B$2:$B$10000&lt;&gt;"")=VALUE(INDEX(IdClientes,MATCH(FQJ2,Clientes,0))))</f>
        <v>#VALUE!</v>
      </c>
      <c r="FQK3" s="28" t="e" cm="1" vm="1">
        <f t="array" ref="FQK3">_xlfn._xlws.FILTER(Rutas,_xlfn._xlws.FILTER($B$2:$B$10000,$B$2:$B$10000&lt;&gt;"")=VALUE(INDEX(IdClientes,MATCH(FQK2,Clientes,0))))</f>
        <v>#VALUE!</v>
      </c>
      <c r="FQL3" s="28" t="e" cm="1" vm="1">
        <f t="array" ref="FQL3">_xlfn._xlws.FILTER(Rutas,_xlfn._xlws.FILTER($B$2:$B$10000,$B$2:$B$10000&lt;&gt;"")=VALUE(INDEX(IdClientes,MATCH(FQL2,Clientes,0))))</f>
        <v>#VALUE!</v>
      </c>
      <c r="FQM3" s="28" t="e" cm="1" vm="1">
        <f t="array" ref="FQM3">_xlfn._xlws.FILTER(Rutas,_xlfn._xlws.FILTER($B$2:$B$10000,$B$2:$B$10000&lt;&gt;"")=VALUE(INDEX(IdClientes,MATCH(FQM2,Clientes,0))))</f>
        <v>#VALUE!</v>
      </c>
      <c r="FQN3" s="28" t="e" cm="1" vm="1">
        <f t="array" ref="FQN3">_xlfn._xlws.FILTER(Rutas,_xlfn._xlws.FILTER($B$2:$B$10000,$B$2:$B$10000&lt;&gt;"")=VALUE(INDEX(IdClientes,MATCH(FQN2,Clientes,0))))</f>
        <v>#VALUE!</v>
      </c>
      <c r="FQO3" s="28" t="e" cm="1" vm="1">
        <f t="array" ref="FQO3">_xlfn._xlws.FILTER(Rutas,_xlfn._xlws.FILTER($B$2:$B$10000,$B$2:$B$10000&lt;&gt;"")=VALUE(INDEX(IdClientes,MATCH(FQO2,Clientes,0))))</f>
        <v>#VALUE!</v>
      </c>
      <c r="FQP3" s="28" t="e" cm="1" vm="1">
        <f t="array" ref="FQP3">_xlfn._xlws.FILTER(Rutas,_xlfn._xlws.FILTER($B$2:$B$10000,$B$2:$B$10000&lt;&gt;"")=VALUE(INDEX(IdClientes,MATCH(FQP2,Clientes,0))))</f>
        <v>#VALUE!</v>
      </c>
      <c r="FQQ3" s="28" t="e" cm="1" vm="1">
        <f t="array" ref="FQQ3">_xlfn._xlws.FILTER(Rutas,_xlfn._xlws.FILTER($B$2:$B$10000,$B$2:$B$10000&lt;&gt;"")=VALUE(INDEX(IdClientes,MATCH(FQQ2,Clientes,0))))</f>
        <v>#VALUE!</v>
      </c>
      <c r="FQR3" s="28" t="e" cm="1" vm="1">
        <f t="array" ref="FQR3">_xlfn._xlws.FILTER(Rutas,_xlfn._xlws.FILTER($B$2:$B$10000,$B$2:$B$10000&lt;&gt;"")=VALUE(INDEX(IdClientes,MATCH(FQR2,Clientes,0))))</f>
        <v>#VALUE!</v>
      </c>
      <c r="FQS3" s="28" t="e" cm="1" vm="1">
        <f t="array" ref="FQS3">_xlfn._xlws.FILTER(Rutas,_xlfn._xlws.FILTER($B$2:$B$10000,$B$2:$B$10000&lt;&gt;"")=VALUE(INDEX(IdClientes,MATCH(FQS2,Clientes,0))))</f>
        <v>#VALUE!</v>
      </c>
      <c r="FQT3" s="28" t="e" cm="1" vm="1">
        <f t="array" ref="FQT3">_xlfn._xlws.FILTER(Rutas,_xlfn._xlws.FILTER($B$2:$B$10000,$B$2:$B$10000&lt;&gt;"")=VALUE(INDEX(IdClientes,MATCH(FQT2,Clientes,0))))</f>
        <v>#VALUE!</v>
      </c>
      <c r="FQU3" s="28" t="e" cm="1" vm="1">
        <f t="array" ref="FQU3">_xlfn._xlws.FILTER(Rutas,_xlfn._xlws.FILTER($B$2:$B$10000,$B$2:$B$10000&lt;&gt;"")=VALUE(INDEX(IdClientes,MATCH(FQU2,Clientes,0))))</f>
        <v>#VALUE!</v>
      </c>
      <c r="FQV3" s="28" t="e" cm="1" vm="1">
        <f t="array" ref="FQV3">_xlfn._xlws.FILTER(Rutas,_xlfn._xlws.FILTER($B$2:$B$10000,$B$2:$B$10000&lt;&gt;"")=VALUE(INDEX(IdClientes,MATCH(FQV2,Clientes,0))))</f>
        <v>#VALUE!</v>
      </c>
      <c r="FQW3" s="28" t="e" cm="1" vm="1">
        <f t="array" ref="FQW3">_xlfn._xlws.FILTER(Rutas,_xlfn._xlws.FILTER($B$2:$B$10000,$B$2:$B$10000&lt;&gt;"")=VALUE(INDEX(IdClientes,MATCH(FQW2,Clientes,0))))</f>
        <v>#VALUE!</v>
      </c>
      <c r="FQX3" s="28" t="e" cm="1" vm="1">
        <f t="array" ref="FQX3">_xlfn._xlws.FILTER(Rutas,_xlfn._xlws.FILTER($B$2:$B$10000,$B$2:$B$10000&lt;&gt;"")=VALUE(INDEX(IdClientes,MATCH(FQX2,Clientes,0))))</f>
        <v>#VALUE!</v>
      </c>
      <c r="FQY3" s="28" t="e" cm="1" vm="1">
        <f t="array" ref="FQY3">_xlfn._xlws.FILTER(Rutas,_xlfn._xlws.FILTER($B$2:$B$10000,$B$2:$B$10000&lt;&gt;"")=VALUE(INDEX(IdClientes,MATCH(FQY2,Clientes,0))))</f>
        <v>#VALUE!</v>
      </c>
      <c r="FQZ3" s="28" t="e" cm="1" vm="1">
        <f t="array" ref="FQZ3">_xlfn._xlws.FILTER(Rutas,_xlfn._xlws.FILTER($B$2:$B$10000,$B$2:$B$10000&lt;&gt;"")=VALUE(INDEX(IdClientes,MATCH(FQZ2,Clientes,0))))</f>
        <v>#VALUE!</v>
      </c>
      <c r="FRA3" s="28" t="e" cm="1" vm="1">
        <f t="array" ref="FRA3">_xlfn._xlws.FILTER(Rutas,_xlfn._xlws.FILTER($B$2:$B$10000,$B$2:$B$10000&lt;&gt;"")=VALUE(INDEX(IdClientes,MATCH(FRA2,Clientes,0))))</f>
        <v>#VALUE!</v>
      </c>
      <c r="FRB3" s="28" t="e" cm="1" vm="1">
        <f t="array" ref="FRB3">_xlfn._xlws.FILTER(Rutas,_xlfn._xlws.FILTER($B$2:$B$10000,$B$2:$B$10000&lt;&gt;"")=VALUE(INDEX(IdClientes,MATCH(FRB2,Clientes,0))))</f>
        <v>#VALUE!</v>
      </c>
      <c r="FRC3" s="28" t="e" cm="1" vm="1">
        <f t="array" ref="FRC3">_xlfn._xlws.FILTER(Rutas,_xlfn._xlws.FILTER($B$2:$B$10000,$B$2:$B$10000&lt;&gt;"")=VALUE(INDEX(IdClientes,MATCH(FRC2,Clientes,0))))</f>
        <v>#VALUE!</v>
      </c>
      <c r="FRD3" s="28" t="e" cm="1" vm="1">
        <f t="array" ref="FRD3">_xlfn._xlws.FILTER(Rutas,_xlfn._xlws.FILTER($B$2:$B$10000,$B$2:$B$10000&lt;&gt;"")=VALUE(INDEX(IdClientes,MATCH(FRD2,Clientes,0))))</f>
        <v>#VALUE!</v>
      </c>
      <c r="FRE3" s="28" t="e" cm="1" vm="1">
        <f t="array" ref="FRE3">_xlfn._xlws.FILTER(Rutas,_xlfn._xlws.FILTER($B$2:$B$10000,$B$2:$B$10000&lt;&gt;"")=VALUE(INDEX(IdClientes,MATCH(FRE2,Clientes,0))))</f>
        <v>#VALUE!</v>
      </c>
      <c r="FRF3" s="28" t="e" cm="1" vm="1">
        <f t="array" ref="FRF3">_xlfn._xlws.FILTER(Rutas,_xlfn._xlws.FILTER($B$2:$B$10000,$B$2:$B$10000&lt;&gt;"")=VALUE(INDEX(IdClientes,MATCH(FRF2,Clientes,0))))</f>
        <v>#VALUE!</v>
      </c>
      <c r="FRG3" s="28" t="e" cm="1" vm="1">
        <f t="array" ref="FRG3">_xlfn._xlws.FILTER(Rutas,_xlfn._xlws.FILTER($B$2:$B$10000,$B$2:$B$10000&lt;&gt;"")=VALUE(INDEX(IdClientes,MATCH(FRG2,Clientes,0))))</f>
        <v>#VALUE!</v>
      </c>
      <c r="FRH3" s="28" t="e" cm="1" vm="1">
        <f t="array" ref="FRH3">_xlfn._xlws.FILTER(Rutas,_xlfn._xlws.FILTER($B$2:$B$10000,$B$2:$B$10000&lt;&gt;"")=VALUE(INDEX(IdClientes,MATCH(FRH2,Clientes,0))))</f>
        <v>#VALUE!</v>
      </c>
      <c r="FRI3" s="28" t="e" cm="1" vm="1">
        <f t="array" ref="FRI3">_xlfn._xlws.FILTER(Rutas,_xlfn._xlws.FILTER($B$2:$B$10000,$B$2:$B$10000&lt;&gt;"")=VALUE(INDEX(IdClientes,MATCH(FRI2,Clientes,0))))</f>
        <v>#VALUE!</v>
      </c>
      <c r="FRJ3" s="28" t="e" cm="1" vm="1">
        <f t="array" ref="FRJ3">_xlfn._xlws.FILTER(Rutas,_xlfn._xlws.FILTER($B$2:$B$10000,$B$2:$B$10000&lt;&gt;"")=VALUE(INDEX(IdClientes,MATCH(FRJ2,Clientes,0))))</f>
        <v>#VALUE!</v>
      </c>
      <c r="FRK3" s="28" t="e" cm="1" vm="1">
        <f t="array" ref="FRK3">_xlfn._xlws.FILTER(Rutas,_xlfn._xlws.FILTER($B$2:$B$10000,$B$2:$B$10000&lt;&gt;"")=VALUE(INDEX(IdClientes,MATCH(FRK2,Clientes,0))))</f>
        <v>#VALUE!</v>
      </c>
      <c r="FRL3" s="28" t="e" cm="1" vm="1">
        <f t="array" ref="FRL3">_xlfn._xlws.FILTER(Rutas,_xlfn._xlws.FILTER($B$2:$B$10000,$B$2:$B$10000&lt;&gt;"")=VALUE(INDEX(IdClientes,MATCH(FRL2,Clientes,0))))</f>
        <v>#VALUE!</v>
      </c>
      <c r="FRM3" s="28" t="e" cm="1" vm="1">
        <f t="array" ref="FRM3">_xlfn._xlws.FILTER(Rutas,_xlfn._xlws.FILTER($B$2:$B$10000,$B$2:$B$10000&lt;&gt;"")=VALUE(INDEX(IdClientes,MATCH(FRM2,Clientes,0))))</f>
        <v>#VALUE!</v>
      </c>
      <c r="FRN3" s="28" t="e" cm="1" vm="1">
        <f t="array" ref="FRN3">_xlfn._xlws.FILTER(Rutas,_xlfn._xlws.FILTER($B$2:$B$10000,$B$2:$B$10000&lt;&gt;"")=VALUE(INDEX(IdClientes,MATCH(FRN2,Clientes,0))))</f>
        <v>#VALUE!</v>
      </c>
      <c r="FRO3" s="28" t="e" cm="1" vm="1">
        <f t="array" ref="FRO3">_xlfn._xlws.FILTER(Rutas,_xlfn._xlws.FILTER($B$2:$B$10000,$B$2:$B$10000&lt;&gt;"")=VALUE(INDEX(IdClientes,MATCH(FRO2,Clientes,0))))</f>
        <v>#VALUE!</v>
      </c>
      <c r="FRP3" s="28" t="e" cm="1" vm="1">
        <f t="array" ref="FRP3">_xlfn._xlws.FILTER(Rutas,_xlfn._xlws.FILTER($B$2:$B$10000,$B$2:$B$10000&lt;&gt;"")=VALUE(INDEX(IdClientes,MATCH(FRP2,Clientes,0))))</f>
        <v>#VALUE!</v>
      </c>
      <c r="FRQ3" s="28" t="e" cm="1" vm="1">
        <f t="array" ref="FRQ3">_xlfn._xlws.FILTER(Rutas,_xlfn._xlws.FILTER($B$2:$B$10000,$B$2:$B$10000&lt;&gt;"")=VALUE(INDEX(IdClientes,MATCH(FRQ2,Clientes,0))))</f>
        <v>#VALUE!</v>
      </c>
      <c r="FRR3" s="28" t="e" cm="1" vm="1">
        <f t="array" ref="FRR3">_xlfn._xlws.FILTER(Rutas,_xlfn._xlws.FILTER($B$2:$B$10000,$B$2:$B$10000&lt;&gt;"")=VALUE(INDEX(IdClientes,MATCH(FRR2,Clientes,0))))</f>
        <v>#VALUE!</v>
      </c>
      <c r="FRS3" s="28" t="e" cm="1" vm="1">
        <f t="array" ref="FRS3">_xlfn._xlws.FILTER(Rutas,_xlfn._xlws.FILTER($B$2:$B$10000,$B$2:$B$10000&lt;&gt;"")=VALUE(INDEX(IdClientes,MATCH(FRS2,Clientes,0))))</f>
        <v>#VALUE!</v>
      </c>
      <c r="FRT3" s="28" t="e" cm="1" vm="1">
        <f t="array" ref="FRT3">_xlfn._xlws.FILTER(Rutas,_xlfn._xlws.FILTER($B$2:$B$10000,$B$2:$B$10000&lt;&gt;"")=VALUE(INDEX(IdClientes,MATCH(FRT2,Clientes,0))))</f>
        <v>#VALUE!</v>
      </c>
      <c r="FRU3" s="28" t="e" cm="1" vm="1">
        <f t="array" ref="FRU3">_xlfn._xlws.FILTER(Rutas,_xlfn._xlws.FILTER($B$2:$B$10000,$B$2:$B$10000&lt;&gt;"")=VALUE(INDEX(IdClientes,MATCH(FRU2,Clientes,0))))</f>
        <v>#VALUE!</v>
      </c>
      <c r="FRV3" s="28" t="e" cm="1" vm="1">
        <f t="array" ref="FRV3">_xlfn._xlws.FILTER(Rutas,_xlfn._xlws.FILTER($B$2:$B$10000,$B$2:$B$10000&lt;&gt;"")=VALUE(INDEX(IdClientes,MATCH(FRV2,Clientes,0))))</f>
        <v>#VALUE!</v>
      </c>
      <c r="FRW3" s="28" t="e" cm="1" vm="1">
        <f t="array" ref="FRW3">_xlfn._xlws.FILTER(Rutas,_xlfn._xlws.FILTER($B$2:$B$10000,$B$2:$B$10000&lt;&gt;"")=VALUE(INDEX(IdClientes,MATCH(FRW2,Clientes,0))))</f>
        <v>#VALUE!</v>
      </c>
      <c r="FRX3" s="28" t="e" cm="1" vm="1">
        <f t="array" ref="FRX3">_xlfn._xlws.FILTER(Rutas,_xlfn._xlws.FILTER($B$2:$B$10000,$B$2:$B$10000&lt;&gt;"")=VALUE(INDEX(IdClientes,MATCH(FRX2,Clientes,0))))</f>
        <v>#VALUE!</v>
      </c>
      <c r="FRY3" s="28" t="e" cm="1" vm="1">
        <f t="array" ref="FRY3">_xlfn._xlws.FILTER(Rutas,_xlfn._xlws.FILTER($B$2:$B$10000,$B$2:$B$10000&lt;&gt;"")=VALUE(INDEX(IdClientes,MATCH(FRY2,Clientes,0))))</f>
        <v>#VALUE!</v>
      </c>
      <c r="FRZ3" s="28" t="e" cm="1" vm="1">
        <f t="array" ref="FRZ3">_xlfn._xlws.FILTER(Rutas,_xlfn._xlws.FILTER($B$2:$B$10000,$B$2:$B$10000&lt;&gt;"")=VALUE(INDEX(IdClientes,MATCH(FRZ2,Clientes,0))))</f>
        <v>#VALUE!</v>
      </c>
      <c r="FSA3" s="28" t="e" cm="1" vm="1">
        <f t="array" ref="FSA3">_xlfn._xlws.FILTER(Rutas,_xlfn._xlws.FILTER($B$2:$B$10000,$B$2:$B$10000&lt;&gt;"")=VALUE(INDEX(IdClientes,MATCH(FSA2,Clientes,0))))</f>
        <v>#VALUE!</v>
      </c>
      <c r="FSB3" s="28" t="e" cm="1" vm="1">
        <f t="array" ref="FSB3">_xlfn._xlws.FILTER(Rutas,_xlfn._xlws.FILTER($B$2:$B$10000,$B$2:$B$10000&lt;&gt;"")=VALUE(INDEX(IdClientes,MATCH(FSB2,Clientes,0))))</f>
        <v>#VALUE!</v>
      </c>
      <c r="FSC3" s="28" t="e" cm="1" vm="1">
        <f t="array" ref="FSC3">_xlfn._xlws.FILTER(Rutas,_xlfn._xlws.FILTER($B$2:$B$10000,$B$2:$B$10000&lt;&gt;"")=VALUE(INDEX(IdClientes,MATCH(FSC2,Clientes,0))))</f>
        <v>#VALUE!</v>
      </c>
      <c r="FSD3" s="28" t="e" cm="1" vm="1">
        <f t="array" ref="FSD3">_xlfn._xlws.FILTER(Rutas,_xlfn._xlws.FILTER($B$2:$B$10000,$B$2:$B$10000&lt;&gt;"")=VALUE(INDEX(IdClientes,MATCH(FSD2,Clientes,0))))</f>
        <v>#VALUE!</v>
      </c>
      <c r="FSE3" s="28" t="e" cm="1" vm="1">
        <f t="array" ref="FSE3">_xlfn._xlws.FILTER(Rutas,_xlfn._xlws.FILTER($B$2:$B$10000,$B$2:$B$10000&lt;&gt;"")=VALUE(INDEX(IdClientes,MATCH(FSE2,Clientes,0))))</f>
        <v>#VALUE!</v>
      </c>
      <c r="FSF3" s="28" t="e" cm="1" vm="1">
        <f t="array" ref="FSF3">_xlfn._xlws.FILTER(Rutas,_xlfn._xlws.FILTER($B$2:$B$10000,$B$2:$B$10000&lt;&gt;"")=VALUE(INDEX(IdClientes,MATCH(FSF2,Clientes,0))))</f>
        <v>#VALUE!</v>
      </c>
      <c r="FSG3" s="28" t="e" cm="1" vm="1">
        <f t="array" ref="FSG3">_xlfn._xlws.FILTER(Rutas,_xlfn._xlws.FILTER($B$2:$B$10000,$B$2:$B$10000&lt;&gt;"")=VALUE(INDEX(IdClientes,MATCH(FSG2,Clientes,0))))</f>
        <v>#VALUE!</v>
      </c>
      <c r="FSH3" s="28" t="e" cm="1" vm="1">
        <f t="array" ref="FSH3">_xlfn._xlws.FILTER(Rutas,_xlfn._xlws.FILTER($B$2:$B$10000,$B$2:$B$10000&lt;&gt;"")=VALUE(INDEX(IdClientes,MATCH(FSH2,Clientes,0))))</f>
        <v>#VALUE!</v>
      </c>
      <c r="FSI3" s="28" t="e" cm="1" vm="1">
        <f t="array" ref="FSI3">_xlfn._xlws.FILTER(Rutas,_xlfn._xlws.FILTER($B$2:$B$10000,$B$2:$B$10000&lt;&gt;"")=VALUE(INDEX(IdClientes,MATCH(FSI2,Clientes,0))))</f>
        <v>#VALUE!</v>
      </c>
      <c r="FSJ3" s="28" t="e" cm="1" vm="1">
        <f t="array" ref="FSJ3">_xlfn._xlws.FILTER(Rutas,_xlfn._xlws.FILTER($B$2:$B$10000,$B$2:$B$10000&lt;&gt;"")=VALUE(INDEX(IdClientes,MATCH(FSJ2,Clientes,0))))</f>
        <v>#VALUE!</v>
      </c>
      <c r="FSK3" s="28" t="e" cm="1" vm="1">
        <f t="array" ref="FSK3">_xlfn._xlws.FILTER(Rutas,_xlfn._xlws.FILTER($B$2:$B$10000,$B$2:$B$10000&lt;&gt;"")=VALUE(INDEX(IdClientes,MATCH(FSK2,Clientes,0))))</f>
        <v>#VALUE!</v>
      </c>
      <c r="FSL3" s="28" t="e" cm="1" vm="1">
        <f t="array" ref="FSL3">_xlfn._xlws.FILTER(Rutas,_xlfn._xlws.FILTER($B$2:$B$10000,$B$2:$B$10000&lt;&gt;"")=VALUE(INDEX(IdClientes,MATCH(FSL2,Clientes,0))))</f>
        <v>#VALUE!</v>
      </c>
      <c r="FSM3" s="28" t="e" cm="1" vm="1">
        <f t="array" ref="FSM3">_xlfn._xlws.FILTER(Rutas,_xlfn._xlws.FILTER($B$2:$B$10000,$B$2:$B$10000&lt;&gt;"")=VALUE(INDEX(IdClientes,MATCH(FSM2,Clientes,0))))</f>
        <v>#VALUE!</v>
      </c>
      <c r="FSN3" s="28" t="e" cm="1" vm="1">
        <f t="array" ref="FSN3">_xlfn._xlws.FILTER(Rutas,_xlfn._xlws.FILTER($B$2:$B$10000,$B$2:$B$10000&lt;&gt;"")=VALUE(INDEX(IdClientes,MATCH(FSN2,Clientes,0))))</f>
        <v>#VALUE!</v>
      </c>
      <c r="FSO3" s="28" t="e" cm="1" vm="1">
        <f t="array" ref="FSO3">_xlfn._xlws.FILTER(Rutas,_xlfn._xlws.FILTER($B$2:$B$10000,$B$2:$B$10000&lt;&gt;"")=VALUE(INDEX(IdClientes,MATCH(FSO2,Clientes,0))))</f>
        <v>#VALUE!</v>
      </c>
      <c r="FSP3" s="28" t="e" cm="1" vm="1">
        <f t="array" ref="FSP3">_xlfn._xlws.FILTER(Rutas,_xlfn._xlws.FILTER($B$2:$B$10000,$B$2:$B$10000&lt;&gt;"")=VALUE(INDEX(IdClientes,MATCH(FSP2,Clientes,0))))</f>
        <v>#VALUE!</v>
      </c>
      <c r="FSQ3" s="28" t="e" cm="1" vm="1">
        <f t="array" ref="FSQ3">_xlfn._xlws.FILTER(Rutas,_xlfn._xlws.FILTER($B$2:$B$10000,$B$2:$B$10000&lt;&gt;"")=VALUE(INDEX(IdClientes,MATCH(FSQ2,Clientes,0))))</f>
        <v>#VALUE!</v>
      </c>
      <c r="FSR3" s="28" t="e" cm="1" vm="1">
        <f t="array" ref="FSR3">_xlfn._xlws.FILTER(Rutas,_xlfn._xlws.FILTER($B$2:$B$10000,$B$2:$B$10000&lt;&gt;"")=VALUE(INDEX(IdClientes,MATCH(FSR2,Clientes,0))))</f>
        <v>#VALUE!</v>
      </c>
      <c r="FSS3" s="28" t="e" cm="1" vm="1">
        <f t="array" ref="FSS3">_xlfn._xlws.FILTER(Rutas,_xlfn._xlws.FILTER($B$2:$B$10000,$B$2:$B$10000&lt;&gt;"")=VALUE(INDEX(IdClientes,MATCH(FSS2,Clientes,0))))</f>
        <v>#VALUE!</v>
      </c>
      <c r="FST3" s="28" t="e" cm="1" vm="1">
        <f t="array" ref="FST3">_xlfn._xlws.FILTER(Rutas,_xlfn._xlws.FILTER($B$2:$B$10000,$B$2:$B$10000&lt;&gt;"")=VALUE(INDEX(IdClientes,MATCH(FST2,Clientes,0))))</f>
        <v>#VALUE!</v>
      </c>
      <c r="FSU3" s="28" t="e" cm="1" vm="1">
        <f t="array" ref="FSU3">_xlfn._xlws.FILTER(Rutas,_xlfn._xlws.FILTER($B$2:$B$10000,$B$2:$B$10000&lt;&gt;"")=VALUE(INDEX(IdClientes,MATCH(FSU2,Clientes,0))))</f>
        <v>#VALUE!</v>
      </c>
      <c r="FSV3" s="28" t="e" cm="1" vm="1">
        <f t="array" ref="FSV3">_xlfn._xlws.FILTER(Rutas,_xlfn._xlws.FILTER($B$2:$B$10000,$B$2:$B$10000&lt;&gt;"")=VALUE(INDEX(IdClientes,MATCH(FSV2,Clientes,0))))</f>
        <v>#VALUE!</v>
      </c>
      <c r="FSW3" s="28" t="e" cm="1" vm="1">
        <f t="array" ref="FSW3">_xlfn._xlws.FILTER(Rutas,_xlfn._xlws.FILTER($B$2:$B$10000,$B$2:$B$10000&lt;&gt;"")=VALUE(INDEX(IdClientes,MATCH(FSW2,Clientes,0))))</f>
        <v>#VALUE!</v>
      </c>
      <c r="FSX3" s="28" t="e" cm="1" vm="1">
        <f t="array" ref="FSX3">_xlfn._xlws.FILTER(Rutas,_xlfn._xlws.FILTER($B$2:$B$10000,$B$2:$B$10000&lt;&gt;"")=VALUE(INDEX(IdClientes,MATCH(FSX2,Clientes,0))))</f>
        <v>#VALUE!</v>
      </c>
      <c r="FSY3" s="28" t="e" cm="1" vm="1">
        <f t="array" ref="FSY3">_xlfn._xlws.FILTER(Rutas,_xlfn._xlws.FILTER($B$2:$B$10000,$B$2:$B$10000&lt;&gt;"")=VALUE(INDEX(IdClientes,MATCH(FSY2,Clientes,0))))</f>
        <v>#VALUE!</v>
      </c>
      <c r="FSZ3" s="28" t="e" cm="1" vm="1">
        <f t="array" ref="FSZ3">_xlfn._xlws.FILTER(Rutas,_xlfn._xlws.FILTER($B$2:$B$10000,$B$2:$B$10000&lt;&gt;"")=VALUE(INDEX(IdClientes,MATCH(FSZ2,Clientes,0))))</f>
        <v>#VALUE!</v>
      </c>
      <c r="FTA3" s="28" t="e" cm="1" vm="1">
        <f t="array" ref="FTA3">_xlfn._xlws.FILTER(Rutas,_xlfn._xlws.FILTER($B$2:$B$10000,$B$2:$B$10000&lt;&gt;"")=VALUE(INDEX(IdClientes,MATCH(FTA2,Clientes,0))))</f>
        <v>#VALUE!</v>
      </c>
      <c r="FTB3" s="28" t="e" cm="1" vm="1">
        <f t="array" ref="FTB3">_xlfn._xlws.FILTER(Rutas,_xlfn._xlws.FILTER($B$2:$B$10000,$B$2:$B$10000&lt;&gt;"")=VALUE(INDEX(IdClientes,MATCH(FTB2,Clientes,0))))</f>
        <v>#VALUE!</v>
      </c>
      <c r="FTC3" s="28" t="e" cm="1" vm="1">
        <f t="array" ref="FTC3">_xlfn._xlws.FILTER(Rutas,_xlfn._xlws.FILTER($B$2:$B$10000,$B$2:$B$10000&lt;&gt;"")=VALUE(INDEX(IdClientes,MATCH(FTC2,Clientes,0))))</f>
        <v>#VALUE!</v>
      </c>
      <c r="FTD3" s="28" t="e" cm="1" vm="1">
        <f t="array" ref="FTD3">_xlfn._xlws.FILTER(Rutas,_xlfn._xlws.FILTER($B$2:$B$10000,$B$2:$B$10000&lt;&gt;"")=VALUE(INDEX(IdClientes,MATCH(FTD2,Clientes,0))))</f>
        <v>#VALUE!</v>
      </c>
      <c r="FTE3" s="28" t="e" cm="1" vm="1">
        <f t="array" ref="FTE3">_xlfn._xlws.FILTER(Rutas,_xlfn._xlws.FILTER($B$2:$B$10000,$B$2:$B$10000&lt;&gt;"")=VALUE(INDEX(IdClientes,MATCH(FTE2,Clientes,0))))</f>
        <v>#VALUE!</v>
      </c>
      <c r="FTF3" s="28" t="e" cm="1" vm="1">
        <f t="array" ref="FTF3">_xlfn._xlws.FILTER(Rutas,_xlfn._xlws.FILTER($B$2:$B$10000,$B$2:$B$10000&lt;&gt;"")=VALUE(INDEX(IdClientes,MATCH(FTF2,Clientes,0))))</f>
        <v>#VALUE!</v>
      </c>
      <c r="FTG3" s="28" t="e" cm="1" vm="1">
        <f t="array" ref="FTG3">_xlfn._xlws.FILTER(Rutas,_xlfn._xlws.FILTER($B$2:$B$10000,$B$2:$B$10000&lt;&gt;"")=VALUE(INDEX(IdClientes,MATCH(FTG2,Clientes,0))))</f>
        <v>#VALUE!</v>
      </c>
      <c r="FTH3" s="28" t="e" cm="1" vm="1">
        <f t="array" ref="FTH3">_xlfn._xlws.FILTER(Rutas,_xlfn._xlws.FILTER($B$2:$B$10000,$B$2:$B$10000&lt;&gt;"")=VALUE(INDEX(IdClientes,MATCH(FTH2,Clientes,0))))</f>
        <v>#VALUE!</v>
      </c>
      <c r="FTI3" s="28" t="e" cm="1" vm="1">
        <f t="array" ref="FTI3">_xlfn._xlws.FILTER(Rutas,_xlfn._xlws.FILTER($B$2:$B$10000,$B$2:$B$10000&lt;&gt;"")=VALUE(INDEX(IdClientes,MATCH(FTI2,Clientes,0))))</f>
        <v>#VALUE!</v>
      </c>
      <c r="FTJ3" s="28" t="e" cm="1" vm="1">
        <f t="array" ref="FTJ3">_xlfn._xlws.FILTER(Rutas,_xlfn._xlws.FILTER($B$2:$B$10000,$B$2:$B$10000&lt;&gt;"")=VALUE(INDEX(IdClientes,MATCH(FTJ2,Clientes,0))))</f>
        <v>#VALUE!</v>
      </c>
      <c r="FTK3" s="28" t="e" cm="1" vm="1">
        <f t="array" ref="FTK3">_xlfn._xlws.FILTER(Rutas,_xlfn._xlws.FILTER($B$2:$B$10000,$B$2:$B$10000&lt;&gt;"")=VALUE(INDEX(IdClientes,MATCH(FTK2,Clientes,0))))</f>
        <v>#VALUE!</v>
      </c>
      <c r="FTL3" s="28" t="e" cm="1" vm="1">
        <f t="array" ref="FTL3">_xlfn._xlws.FILTER(Rutas,_xlfn._xlws.FILTER($B$2:$B$10000,$B$2:$B$10000&lt;&gt;"")=VALUE(INDEX(IdClientes,MATCH(FTL2,Clientes,0))))</f>
        <v>#VALUE!</v>
      </c>
      <c r="FTM3" s="28" t="e" cm="1" vm="1">
        <f t="array" ref="FTM3">_xlfn._xlws.FILTER(Rutas,_xlfn._xlws.FILTER($B$2:$B$10000,$B$2:$B$10000&lt;&gt;"")=VALUE(INDEX(IdClientes,MATCH(FTM2,Clientes,0))))</f>
        <v>#VALUE!</v>
      </c>
      <c r="FTN3" s="28" t="e" cm="1" vm="1">
        <f t="array" ref="FTN3">_xlfn._xlws.FILTER(Rutas,_xlfn._xlws.FILTER($B$2:$B$10000,$B$2:$B$10000&lt;&gt;"")=VALUE(INDEX(IdClientes,MATCH(FTN2,Clientes,0))))</f>
        <v>#VALUE!</v>
      </c>
      <c r="FTO3" s="28" t="e" cm="1" vm="1">
        <f t="array" ref="FTO3">_xlfn._xlws.FILTER(Rutas,_xlfn._xlws.FILTER($B$2:$B$10000,$B$2:$B$10000&lt;&gt;"")=VALUE(INDEX(IdClientes,MATCH(FTO2,Clientes,0))))</f>
        <v>#VALUE!</v>
      </c>
      <c r="FTP3" s="28" t="e" cm="1" vm="1">
        <f t="array" ref="FTP3">_xlfn._xlws.FILTER(Rutas,_xlfn._xlws.FILTER($B$2:$B$10000,$B$2:$B$10000&lt;&gt;"")=VALUE(INDEX(IdClientes,MATCH(FTP2,Clientes,0))))</f>
        <v>#VALUE!</v>
      </c>
      <c r="FTQ3" s="28" t="e" cm="1" vm="1">
        <f t="array" ref="FTQ3">_xlfn._xlws.FILTER(Rutas,_xlfn._xlws.FILTER($B$2:$B$10000,$B$2:$B$10000&lt;&gt;"")=VALUE(INDEX(IdClientes,MATCH(FTQ2,Clientes,0))))</f>
        <v>#VALUE!</v>
      </c>
      <c r="FTR3" s="28" t="e" cm="1" vm="1">
        <f t="array" ref="FTR3">_xlfn._xlws.FILTER(Rutas,_xlfn._xlws.FILTER($B$2:$B$10000,$B$2:$B$10000&lt;&gt;"")=VALUE(INDEX(IdClientes,MATCH(FTR2,Clientes,0))))</f>
        <v>#VALUE!</v>
      </c>
      <c r="FTS3" s="28" t="e" cm="1" vm="1">
        <f t="array" ref="FTS3">_xlfn._xlws.FILTER(Rutas,_xlfn._xlws.FILTER($B$2:$B$10000,$B$2:$B$10000&lt;&gt;"")=VALUE(INDEX(IdClientes,MATCH(FTS2,Clientes,0))))</f>
        <v>#VALUE!</v>
      </c>
      <c r="FTT3" s="28" t="e" cm="1" vm="1">
        <f t="array" ref="FTT3">_xlfn._xlws.FILTER(Rutas,_xlfn._xlws.FILTER($B$2:$B$10000,$B$2:$B$10000&lt;&gt;"")=VALUE(INDEX(IdClientes,MATCH(FTT2,Clientes,0))))</f>
        <v>#VALUE!</v>
      </c>
      <c r="FTU3" s="28" t="e" cm="1" vm="1">
        <f t="array" ref="FTU3">_xlfn._xlws.FILTER(Rutas,_xlfn._xlws.FILTER($B$2:$B$10000,$B$2:$B$10000&lt;&gt;"")=VALUE(INDEX(IdClientes,MATCH(FTU2,Clientes,0))))</f>
        <v>#VALUE!</v>
      </c>
      <c r="FTV3" s="28" t="e" cm="1" vm="1">
        <f t="array" ref="FTV3">_xlfn._xlws.FILTER(Rutas,_xlfn._xlws.FILTER($B$2:$B$10000,$B$2:$B$10000&lt;&gt;"")=VALUE(INDEX(IdClientes,MATCH(FTV2,Clientes,0))))</f>
        <v>#VALUE!</v>
      </c>
      <c r="FTW3" s="28" t="e" cm="1" vm="1">
        <f t="array" ref="FTW3">_xlfn._xlws.FILTER(Rutas,_xlfn._xlws.FILTER($B$2:$B$10000,$B$2:$B$10000&lt;&gt;"")=VALUE(INDEX(IdClientes,MATCH(FTW2,Clientes,0))))</f>
        <v>#VALUE!</v>
      </c>
      <c r="FTX3" s="28" t="e" cm="1" vm="1">
        <f t="array" ref="FTX3">_xlfn._xlws.FILTER(Rutas,_xlfn._xlws.FILTER($B$2:$B$10000,$B$2:$B$10000&lt;&gt;"")=VALUE(INDEX(IdClientes,MATCH(FTX2,Clientes,0))))</f>
        <v>#VALUE!</v>
      </c>
      <c r="FTY3" s="28" t="e" cm="1" vm="1">
        <f t="array" ref="FTY3">_xlfn._xlws.FILTER(Rutas,_xlfn._xlws.FILTER($B$2:$B$10000,$B$2:$B$10000&lt;&gt;"")=VALUE(INDEX(IdClientes,MATCH(FTY2,Clientes,0))))</f>
        <v>#VALUE!</v>
      </c>
      <c r="FTZ3" s="28" t="e" cm="1" vm="1">
        <f t="array" ref="FTZ3">_xlfn._xlws.FILTER(Rutas,_xlfn._xlws.FILTER($B$2:$B$10000,$B$2:$B$10000&lt;&gt;"")=VALUE(INDEX(IdClientes,MATCH(FTZ2,Clientes,0))))</f>
        <v>#VALUE!</v>
      </c>
      <c r="FUA3" s="28" t="e" cm="1" vm="1">
        <f t="array" ref="FUA3">_xlfn._xlws.FILTER(Rutas,_xlfn._xlws.FILTER($B$2:$B$10000,$B$2:$B$10000&lt;&gt;"")=VALUE(INDEX(IdClientes,MATCH(FUA2,Clientes,0))))</f>
        <v>#VALUE!</v>
      </c>
      <c r="FUB3" s="28" t="e" cm="1" vm="1">
        <f t="array" ref="FUB3">_xlfn._xlws.FILTER(Rutas,_xlfn._xlws.FILTER($B$2:$B$10000,$B$2:$B$10000&lt;&gt;"")=VALUE(INDEX(IdClientes,MATCH(FUB2,Clientes,0))))</f>
        <v>#VALUE!</v>
      </c>
      <c r="FUC3" s="28" t="e" cm="1" vm="1">
        <f t="array" ref="FUC3">_xlfn._xlws.FILTER(Rutas,_xlfn._xlws.FILTER($B$2:$B$10000,$B$2:$B$10000&lt;&gt;"")=VALUE(INDEX(IdClientes,MATCH(FUC2,Clientes,0))))</f>
        <v>#VALUE!</v>
      </c>
      <c r="FUD3" s="28" t="e" cm="1" vm="1">
        <f t="array" ref="FUD3">_xlfn._xlws.FILTER(Rutas,_xlfn._xlws.FILTER($B$2:$B$10000,$B$2:$B$10000&lt;&gt;"")=VALUE(INDEX(IdClientes,MATCH(FUD2,Clientes,0))))</f>
        <v>#VALUE!</v>
      </c>
      <c r="FUE3" s="28" t="e" cm="1" vm="1">
        <f t="array" ref="FUE3">_xlfn._xlws.FILTER(Rutas,_xlfn._xlws.FILTER($B$2:$B$10000,$B$2:$B$10000&lt;&gt;"")=VALUE(INDEX(IdClientes,MATCH(FUE2,Clientes,0))))</f>
        <v>#VALUE!</v>
      </c>
      <c r="FUF3" s="28" t="e" cm="1" vm="1">
        <f t="array" ref="FUF3">_xlfn._xlws.FILTER(Rutas,_xlfn._xlws.FILTER($B$2:$B$10000,$B$2:$B$10000&lt;&gt;"")=VALUE(INDEX(IdClientes,MATCH(FUF2,Clientes,0))))</f>
        <v>#VALUE!</v>
      </c>
      <c r="FUG3" s="28" t="e" cm="1" vm="1">
        <f t="array" ref="FUG3">_xlfn._xlws.FILTER(Rutas,_xlfn._xlws.FILTER($B$2:$B$10000,$B$2:$B$10000&lt;&gt;"")=VALUE(INDEX(IdClientes,MATCH(FUG2,Clientes,0))))</f>
        <v>#VALUE!</v>
      </c>
      <c r="FUH3" s="28" t="e" cm="1" vm="1">
        <f t="array" ref="FUH3">_xlfn._xlws.FILTER(Rutas,_xlfn._xlws.FILTER($B$2:$B$10000,$B$2:$B$10000&lt;&gt;"")=VALUE(INDEX(IdClientes,MATCH(FUH2,Clientes,0))))</f>
        <v>#VALUE!</v>
      </c>
      <c r="FUI3" s="28" t="e" cm="1" vm="1">
        <f t="array" ref="FUI3">_xlfn._xlws.FILTER(Rutas,_xlfn._xlws.FILTER($B$2:$B$10000,$B$2:$B$10000&lt;&gt;"")=VALUE(INDEX(IdClientes,MATCH(FUI2,Clientes,0))))</f>
        <v>#VALUE!</v>
      </c>
      <c r="FUJ3" s="28" t="e" cm="1" vm="1">
        <f t="array" ref="FUJ3">_xlfn._xlws.FILTER(Rutas,_xlfn._xlws.FILTER($B$2:$B$10000,$B$2:$B$10000&lt;&gt;"")=VALUE(INDEX(IdClientes,MATCH(FUJ2,Clientes,0))))</f>
        <v>#VALUE!</v>
      </c>
      <c r="FUK3" s="28" t="e" cm="1" vm="1">
        <f t="array" ref="FUK3">_xlfn._xlws.FILTER(Rutas,_xlfn._xlws.FILTER($B$2:$B$10000,$B$2:$B$10000&lt;&gt;"")=VALUE(INDEX(IdClientes,MATCH(FUK2,Clientes,0))))</f>
        <v>#VALUE!</v>
      </c>
      <c r="FUL3" s="28" t="e" cm="1" vm="1">
        <f t="array" ref="FUL3">_xlfn._xlws.FILTER(Rutas,_xlfn._xlws.FILTER($B$2:$B$10000,$B$2:$B$10000&lt;&gt;"")=VALUE(INDEX(IdClientes,MATCH(FUL2,Clientes,0))))</f>
        <v>#VALUE!</v>
      </c>
      <c r="FUM3" s="28" t="e" cm="1" vm="1">
        <f t="array" ref="FUM3">_xlfn._xlws.FILTER(Rutas,_xlfn._xlws.FILTER($B$2:$B$10000,$B$2:$B$10000&lt;&gt;"")=VALUE(INDEX(IdClientes,MATCH(FUM2,Clientes,0))))</f>
        <v>#VALUE!</v>
      </c>
      <c r="FUN3" s="28" t="e" cm="1" vm="1">
        <f t="array" ref="FUN3">_xlfn._xlws.FILTER(Rutas,_xlfn._xlws.FILTER($B$2:$B$10000,$B$2:$B$10000&lt;&gt;"")=VALUE(INDEX(IdClientes,MATCH(FUN2,Clientes,0))))</f>
        <v>#VALUE!</v>
      </c>
      <c r="FUO3" s="28" t="e" cm="1" vm="1">
        <f t="array" ref="FUO3">_xlfn._xlws.FILTER(Rutas,_xlfn._xlws.FILTER($B$2:$B$10000,$B$2:$B$10000&lt;&gt;"")=VALUE(INDEX(IdClientes,MATCH(FUO2,Clientes,0))))</f>
        <v>#VALUE!</v>
      </c>
      <c r="FUP3" s="28" t="e" cm="1" vm="1">
        <f t="array" ref="FUP3">_xlfn._xlws.FILTER(Rutas,_xlfn._xlws.FILTER($B$2:$B$10000,$B$2:$B$10000&lt;&gt;"")=VALUE(INDEX(IdClientes,MATCH(FUP2,Clientes,0))))</f>
        <v>#VALUE!</v>
      </c>
      <c r="FUQ3" s="28" t="e" cm="1" vm="1">
        <f t="array" ref="FUQ3">_xlfn._xlws.FILTER(Rutas,_xlfn._xlws.FILTER($B$2:$B$10000,$B$2:$B$10000&lt;&gt;"")=VALUE(INDEX(IdClientes,MATCH(FUQ2,Clientes,0))))</f>
        <v>#VALUE!</v>
      </c>
      <c r="FUR3" s="28" t="e" cm="1" vm="1">
        <f t="array" ref="FUR3">_xlfn._xlws.FILTER(Rutas,_xlfn._xlws.FILTER($B$2:$B$10000,$B$2:$B$10000&lt;&gt;"")=VALUE(INDEX(IdClientes,MATCH(FUR2,Clientes,0))))</f>
        <v>#VALUE!</v>
      </c>
      <c r="FUS3" s="28" t="e" cm="1" vm="1">
        <f t="array" ref="FUS3">_xlfn._xlws.FILTER(Rutas,_xlfn._xlws.FILTER($B$2:$B$10000,$B$2:$B$10000&lt;&gt;"")=VALUE(INDEX(IdClientes,MATCH(FUS2,Clientes,0))))</f>
        <v>#VALUE!</v>
      </c>
      <c r="FUT3" s="28" t="e" cm="1" vm="1">
        <f t="array" ref="FUT3">_xlfn._xlws.FILTER(Rutas,_xlfn._xlws.FILTER($B$2:$B$10000,$B$2:$B$10000&lt;&gt;"")=VALUE(INDEX(IdClientes,MATCH(FUT2,Clientes,0))))</f>
        <v>#VALUE!</v>
      </c>
      <c r="FUU3" s="28" t="e" cm="1" vm="1">
        <f t="array" ref="FUU3">_xlfn._xlws.FILTER(Rutas,_xlfn._xlws.FILTER($B$2:$B$10000,$B$2:$B$10000&lt;&gt;"")=VALUE(INDEX(IdClientes,MATCH(FUU2,Clientes,0))))</f>
        <v>#VALUE!</v>
      </c>
      <c r="FUV3" s="28" t="e" cm="1" vm="1">
        <f t="array" ref="FUV3">_xlfn._xlws.FILTER(Rutas,_xlfn._xlws.FILTER($B$2:$B$10000,$B$2:$B$10000&lt;&gt;"")=VALUE(INDEX(IdClientes,MATCH(FUV2,Clientes,0))))</f>
        <v>#VALUE!</v>
      </c>
      <c r="FUW3" s="28" t="e" cm="1" vm="1">
        <f t="array" ref="FUW3">_xlfn._xlws.FILTER(Rutas,_xlfn._xlws.FILTER($B$2:$B$10000,$B$2:$B$10000&lt;&gt;"")=VALUE(INDEX(IdClientes,MATCH(FUW2,Clientes,0))))</f>
        <v>#VALUE!</v>
      </c>
      <c r="FUX3" s="28" t="e" cm="1" vm="1">
        <f t="array" ref="FUX3">_xlfn._xlws.FILTER(Rutas,_xlfn._xlws.FILTER($B$2:$B$10000,$B$2:$B$10000&lt;&gt;"")=VALUE(INDEX(IdClientes,MATCH(FUX2,Clientes,0))))</f>
        <v>#VALUE!</v>
      </c>
      <c r="FUY3" s="28" t="e" cm="1" vm="1">
        <f t="array" ref="FUY3">_xlfn._xlws.FILTER(Rutas,_xlfn._xlws.FILTER($B$2:$B$10000,$B$2:$B$10000&lt;&gt;"")=VALUE(INDEX(IdClientes,MATCH(FUY2,Clientes,0))))</f>
        <v>#VALUE!</v>
      </c>
      <c r="FUZ3" s="28" t="e" cm="1" vm="1">
        <f t="array" ref="FUZ3">_xlfn._xlws.FILTER(Rutas,_xlfn._xlws.FILTER($B$2:$B$10000,$B$2:$B$10000&lt;&gt;"")=VALUE(INDEX(IdClientes,MATCH(FUZ2,Clientes,0))))</f>
        <v>#VALUE!</v>
      </c>
      <c r="FVA3" s="28" t="e" cm="1" vm="1">
        <f t="array" ref="FVA3">_xlfn._xlws.FILTER(Rutas,_xlfn._xlws.FILTER($B$2:$B$10000,$B$2:$B$10000&lt;&gt;"")=VALUE(INDEX(IdClientes,MATCH(FVA2,Clientes,0))))</f>
        <v>#VALUE!</v>
      </c>
      <c r="FVB3" s="28" t="e" cm="1" vm="1">
        <f t="array" ref="FVB3">_xlfn._xlws.FILTER(Rutas,_xlfn._xlws.FILTER($B$2:$B$10000,$B$2:$B$10000&lt;&gt;"")=VALUE(INDEX(IdClientes,MATCH(FVB2,Clientes,0))))</f>
        <v>#VALUE!</v>
      </c>
      <c r="FVC3" s="28" t="e" cm="1" vm="1">
        <f t="array" ref="FVC3">_xlfn._xlws.FILTER(Rutas,_xlfn._xlws.FILTER($B$2:$B$10000,$B$2:$B$10000&lt;&gt;"")=VALUE(INDEX(IdClientes,MATCH(FVC2,Clientes,0))))</f>
        <v>#VALUE!</v>
      </c>
      <c r="FVD3" s="28" t="e" cm="1" vm="1">
        <f t="array" ref="FVD3">_xlfn._xlws.FILTER(Rutas,_xlfn._xlws.FILTER($B$2:$B$10000,$B$2:$B$10000&lt;&gt;"")=VALUE(INDEX(IdClientes,MATCH(FVD2,Clientes,0))))</f>
        <v>#VALUE!</v>
      </c>
      <c r="FVE3" s="28" t="e" cm="1" vm="1">
        <f t="array" ref="FVE3">_xlfn._xlws.FILTER(Rutas,_xlfn._xlws.FILTER($B$2:$B$10000,$B$2:$B$10000&lt;&gt;"")=VALUE(INDEX(IdClientes,MATCH(FVE2,Clientes,0))))</f>
        <v>#VALUE!</v>
      </c>
      <c r="FVF3" s="28" t="e" cm="1" vm="1">
        <f t="array" ref="FVF3">_xlfn._xlws.FILTER(Rutas,_xlfn._xlws.FILTER($B$2:$B$10000,$B$2:$B$10000&lt;&gt;"")=VALUE(INDEX(IdClientes,MATCH(FVF2,Clientes,0))))</f>
        <v>#VALUE!</v>
      </c>
      <c r="FVG3" s="28" t="e" cm="1" vm="1">
        <f t="array" ref="FVG3">_xlfn._xlws.FILTER(Rutas,_xlfn._xlws.FILTER($B$2:$B$10000,$B$2:$B$10000&lt;&gt;"")=VALUE(INDEX(IdClientes,MATCH(FVG2,Clientes,0))))</f>
        <v>#VALUE!</v>
      </c>
      <c r="FVH3" s="28" t="e" cm="1" vm="1">
        <f t="array" ref="FVH3">_xlfn._xlws.FILTER(Rutas,_xlfn._xlws.FILTER($B$2:$B$10000,$B$2:$B$10000&lt;&gt;"")=VALUE(INDEX(IdClientes,MATCH(FVH2,Clientes,0))))</f>
        <v>#VALUE!</v>
      </c>
      <c r="FVI3" s="28" t="e" cm="1" vm="1">
        <f t="array" ref="FVI3">_xlfn._xlws.FILTER(Rutas,_xlfn._xlws.FILTER($B$2:$B$10000,$B$2:$B$10000&lt;&gt;"")=VALUE(INDEX(IdClientes,MATCH(FVI2,Clientes,0))))</f>
        <v>#VALUE!</v>
      </c>
      <c r="FVJ3" s="28" t="e" cm="1" vm="1">
        <f t="array" ref="FVJ3">_xlfn._xlws.FILTER(Rutas,_xlfn._xlws.FILTER($B$2:$B$10000,$B$2:$B$10000&lt;&gt;"")=VALUE(INDEX(IdClientes,MATCH(FVJ2,Clientes,0))))</f>
        <v>#VALUE!</v>
      </c>
      <c r="FVK3" s="28" t="e" cm="1" vm="1">
        <f t="array" ref="FVK3">_xlfn._xlws.FILTER(Rutas,_xlfn._xlws.FILTER($B$2:$B$10000,$B$2:$B$10000&lt;&gt;"")=VALUE(INDEX(IdClientes,MATCH(FVK2,Clientes,0))))</f>
        <v>#VALUE!</v>
      </c>
      <c r="FVL3" s="28" t="e" cm="1" vm="1">
        <f t="array" ref="FVL3">_xlfn._xlws.FILTER(Rutas,_xlfn._xlws.FILTER($B$2:$B$10000,$B$2:$B$10000&lt;&gt;"")=VALUE(INDEX(IdClientes,MATCH(FVL2,Clientes,0))))</f>
        <v>#VALUE!</v>
      </c>
      <c r="FVM3" s="28" t="e" cm="1" vm="1">
        <f t="array" ref="FVM3">_xlfn._xlws.FILTER(Rutas,_xlfn._xlws.FILTER($B$2:$B$10000,$B$2:$B$10000&lt;&gt;"")=VALUE(INDEX(IdClientes,MATCH(FVM2,Clientes,0))))</f>
        <v>#VALUE!</v>
      </c>
      <c r="FVN3" s="28" t="e" cm="1" vm="1">
        <f t="array" ref="FVN3">_xlfn._xlws.FILTER(Rutas,_xlfn._xlws.FILTER($B$2:$B$10000,$B$2:$B$10000&lt;&gt;"")=VALUE(INDEX(IdClientes,MATCH(FVN2,Clientes,0))))</f>
        <v>#VALUE!</v>
      </c>
      <c r="FVO3" s="28" t="e" cm="1" vm="1">
        <f t="array" ref="FVO3">_xlfn._xlws.FILTER(Rutas,_xlfn._xlws.FILTER($B$2:$B$10000,$B$2:$B$10000&lt;&gt;"")=VALUE(INDEX(IdClientes,MATCH(FVO2,Clientes,0))))</f>
        <v>#VALUE!</v>
      </c>
      <c r="FVP3" s="28" t="e" cm="1" vm="1">
        <f t="array" ref="FVP3">_xlfn._xlws.FILTER(Rutas,_xlfn._xlws.FILTER($B$2:$B$10000,$B$2:$B$10000&lt;&gt;"")=VALUE(INDEX(IdClientes,MATCH(FVP2,Clientes,0))))</f>
        <v>#VALUE!</v>
      </c>
      <c r="FVQ3" s="28" t="e" cm="1" vm="1">
        <f t="array" ref="FVQ3">_xlfn._xlws.FILTER(Rutas,_xlfn._xlws.FILTER($B$2:$B$10000,$B$2:$B$10000&lt;&gt;"")=VALUE(INDEX(IdClientes,MATCH(FVQ2,Clientes,0))))</f>
        <v>#VALUE!</v>
      </c>
      <c r="FVR3" s="28" t="e" cm="1" vm="1">
        <f t="array" ref="FVR3">_xlfn._xlws.FILTER(Rutas,_xlfn._xlws.FILTER($B$2:$B$10000,$B$2:$B$10000&lt;&gt;"")=VALUE(INDEX(IdClientes,MATCH(FVR2,Clientes,0))))</f>
        <v>#VALUE!</v>
      </c>
      <c r="FVS3" s="28" t="e" cm="1" vm="1">
        <f t="array" ref="FVS3">_xlfn._xlws.FILTER(Rutas,_xlfn._xlws.FILTER($B$2:$B$10000,$B$2:$B$10000&lt;&gt;"")=VALUE(INDEX(IdClientes,MATCH(FVS2,Clientes,0))))</f>
        <v>#VALUE!</v>
      </c>
      <c r="FVT3" s="28" t="e" cm="1" vm="1">
        <f t="array" ref="FVT3">_xlfn._xlws.FILTER(Rutas,_xlfn._xlws.FILTER($B$2:$B$10000,$B$2:$B$10000&lt;&gt;"")=VALUE(INDEX(IdClientes,MATCH(FVT2,Clientes,0))))</f>
        <v>#VALUE!</v>
      </c>
      <c r="FVU3" s="28" t="e" cm="1" vm="1">
        <f t="array" ref="FVU3">_xlfn._xlws.FILTER(Rutas,_xlfn._xlws.FILTER($B$2:$B$10000,$B$2:$B$10000&lt;&gt;"")=VALUE(INDEX(IdClientes,MATCH(FVU2,Clientes,0))))</f>
        <v>#VALUE!</v>
      </c>
      <c r="FVV3" s="28" t="e" cm="1" vm="1">
        <f t="array" ref="FVV3">_xlfn._xlws.FILTER(Rutas,_xlfn._xlws.FILTER($B$2:$B$10000,$B$2:$B$10000&lt;&gt;"")=VALUE(INDEX(IdClientes,MATCH(FVV2,Clientes,0))))</f>
        <v>#VALUE!</v>
      </c>
      <c r="FVW3" s="28" t="e" cm="1" vm="1">
        <f t="array" ref="FVW3">_xlfn._xlws.FILTER(Rutas,_xlfn._xlws.FILTER($B$2:$B$10000,$B$2:$B$10000&lt;&gt;"")=VALUE(INDEX(IdClientes,MATCH(FVW2,Clientes,0))))</f>
        <v>#VALUE!</v>
      </c>
      <c r="FVX3" s="28" t="e" cm="1" vm="1">
        <f t="array" ref="FVX3">_xlfn._xlws.FILTER(Rutas,_xlfn._xlws.FILTER($B$2:$B$10000,$B$2:$B$10000&lt;&gt;"")=VALUE(INDEX(IdClientes,MATCH(FVX2,Clientes,0))))</f>
        <v>#VALUE!</v>
      </c>
      <c r="FVY3" s="28" t="e" cm="1" vm="1">
        <f t="array" ref="FVY3">_xlfn._xlws.FILTER(Rutas,_xlfn._xlws.FILTER($B$2:$B$10000,$B$2:$B$10000&lt;&gt;"")=VALUE(INDEX(IdClientes,MATCH(FVY2,Clientes,0))))</f>
        <v>#VALUE!</v>
      </c>
      <c r="FVZ3" s="28" t="e" cm="1" vm="1">
        <f t="array" ref="FVZ3">_xlfn._xlws.FILTER(Rutas,_xlfn._xlws.FILTER($B$2:$B$10000,$B$2:$B$10000&lt;&gt;"")=VALUE(INDEX(IdClientes,MATCH(FVZ2,Clientes,0))))</f>
        <v>#VALUE!</v>
      </c>
      <c r="FWA3" s="28" t="e" cm="1" vm="1">
        <f t="array" ref="FWA3">_xlfn._xlws.FILTER(Rutas,_xlfn._xlws.FILTER($B$2:$B$10000,$B$2:$B$10000&lt;&gt;"")=VALUE(INDEX(IdClientes,MATCH(FWA2,Clientes,0))))</f>
        <v>#VALUE!</v>
      </c>
      <c r="FWB3" s="28" t="e" cm="1" vm="1">
        <f t="array" ref="FWB3">_xlfn._xlws.FILTER(Rutas,_xlfn._xlws.FILTER($B$2:$B$10000,$B$2:$B$10000&lt;&gt;"")=VALUE(INDEX(IdClientes,MATCH(FWB2,Clientes,0))))</f>
        <v>#VALUE!</v>
      </c>
      <c r="FWC3" s="28" t="e" cm="1" vm="1">
        <f t="array" ref="FWC3">_xlfn._xlws.FILTER(Rutas,_xlfn._xlws.FILTER($B$2:$B$10000,$B$2:$B$10000&lt;&gt;"")=VALUE(INDEX(IdClientes,MATCH(FWC2,Clientes,0))))</f>
        <v>#VALUE!</v>
      </c>
      <c r="FWD3" s="28" t="e" cm="1" vm="1">
        <f t="array" ref="FWD3">_xlfn._xlws.FILTER(Rutas,_xlfn._xlws.FILTER($B$2:$B$10000,$B$2:$B$10000&lt;&gt;"")=VALUE(INDEX(IdClientes,MATCH(FWD2,Clientes,0))))</f>
        <v>#VALUE!</v>
      </c>
      <c r="FWE3" s="28" t="e" cm="1" vm="1">
        <f t="array" ref="FWE3">_xlfn._xlws.FILTER(Rutas,_xlfn._xlws.FILTER($B$2:$B$10000,$B$2:$B$10000&lt;&gt;"")=VALUE(INDEX(IdClientes,MATCH(FWE2,Clientes,0))))</f>
        <v>#VALUE!</v>
      </c>
      <c r="FWF3" s="28" t="e" cm="1" vm="1">
        <f t="array" ref="FWF3">_xlfn._xlws.FILTER(Rutas,_xlfn._xlws.FILTER($B$2:$B$10000,$B$2:$B$10000&lt;&gt;"")=VALUE(INDEX(IdClientes,MATCH(FWF2,Clientes,0))))</f>
        <v>#VALUE!</v>
      </c>
      <c r="FWG3" s="28" t="e" cm="1" vm="1">
        <f t="array" ref="FWG3">_xlfn._xlws.FILTER(Rutas,_xlfn._xlws.FILTER($B$2:$B$10000,$B$2:$B$10000&lt;&gt;"")=VALUE(INDEX(IdClientes,MATCH(FWG2,Clientes,0))))</f>
        <v>#VALUE!</v>
      </c>
      <c r="FWH3" s="28" t="e" cm="1" vm="1">
        <f t="array" ref="FWH3">_xlfn._xlws.FILTER(Rutas,_xlfn._xlws.FILTER($B$2:$B$10000,$B$2:$B$10000&lt;&gt;"")=VALUE(INDEX(IdClientes,MATCH(FWH2,Clientes,0))))</f>
        <v>#VALUE!</v>
      </c>
      <c r="FWI3" s="28" t="e" cm="1" vm="1">
        <f t="array" ref="FWI3">_xlfn._xlws.FILTER(Rutas,_xlfn._xlws.FILTER($B$2:$B$10000,$B$2:$B$10000&lt;&gt;"")=VALUE(INDEX(IdClientes,MATCH(FWI2,Clientes,0))))</f>
        <v>#VALUE!</v>
      </c>
      <c r="FWJ3" s="28" t="e" cm="1" vm="1">
        <f t="array" ref="FWJ3">_xlfn._xlws.FILTER(Rutas,_xlfn._xlws.FILTER($B$2:$B$10000,$B$2:$B$10000&lt;&gt;"")=VALUE(INDEX(IdClientes,MATCH(FWJ2,Clientes,0))))</f>
        <v>#VALUE!</v>
      </c>
      <c r="FWK3" s="28" t="e" cm="1" vm="1">
        <f t="array" ref="FWK3">_xlfn._xlws.FILTER(Rutas,_xlfn._xlws.FILTER($B$2:$B$10000,$B$2:$B$10000&lt;&gt;"")=VALUE(INDEX(IdClientes,MATCH(FWK2,Clientes,0))))</f>
        <v>#VALUE!</v>
      </c>
      <c r="FWL3" s="28" t="e" cm="1" vm="1">
        <f t="array" ref="FWL3">_xlfn._xlws.FILTER(Rutas,_xlfn._xlws.FILTER($B$2:$B$10000,$B$2:$B$10000&lt;&gt;"")=VALUE(INDEX(IdClientes,MATCH(FWL2,Clientes,0))))</f>
        <v>#VALUE!</v>
      </c>
      <c r="FWM3" s="28" t="e" cm="1" vm="1">
        <f t="array" ref="FWM3">_xlfn._xlws.FILTER(Rutas,_xlfn._xlws.FILTER($B$2:$B$10000,$B$2:$B$10000&lt;&gt;"")=VALUE(INDEX(IdClientes,MATCH(FWM2,Clientes,0))))</f>
        <v>#VALUE!</v>
      </c>
      <c r="FWN3" s="28" t="e" cm="1" vm="1">
        <f t="array" ref="FWN3">_xlfn._xlws.FILTER(Rutas,_xlfn._xlws.FILTER($B$2:$B$10000,$B$2:$B$10000&lt;&gt;"")=VALUE(INDEX(IdClientes,MATCH(FWN2,Clientes,0))))</f>
        <v>#VALUE!</v>
      </c>
      <c r="FWO3" s="28" t="e" cm="1" vm="1">
        <f t="array" ref="FWO3">_xlfn._xlws.FILTER(Rutas,_xlfn._xlws.FILTER($B$2:$B$10000,$B$2:$B$10000&lt;&gt;"")=VALUE(INDEX(IdClientes,MATCH(FWO2,Clientes,0))))</f>
        <v>#VALUE!</v>
      </c>
      <c r="FWP3" s="28" t="e" cm="1" vm="1">
        <f t="array" ref="FWP3">_xlfn._xlws.FILTER(Rutas,_xlfn._xlws.FILTER($B$2:$B$10000,$B$2:$B$10000&lt;&gt;"")=VALUE(INDEX(IdClientes,MATCH(FWP2,Clientes,0))))</f>
        <v>#VALUE!</v>
      </c>
      <c r="FWQ3" s="28" t="e" cm="1" vm="1">
        <f t="array" ref="FWQ3">_xlfn._xlws.FILTER(Rutas,_xlfn._xlws.FILTER($B$2:$B$10000,$B$2:$B$10000&lt;&gt;"")=VALUE(INDEX(IdClientes,MATCH(FWQ2,Clientes,0))))</f>
        <v>#VALUE!</v>
      </c>
      <c r="FWR3" s="28" t="e" cm="1" vm="1">
        <f t="array" ref="FWR3">_xlfn._xlws.FILTER(Rutas,_xlfn._xlws.FILTER($B$2:$B$10000,$B$2:$B$10000&lt;&gt;"")=VALUE(INDEX(IdClientes,MATCH(FWR2,Clientes,0))))</f>
        <v>#VALUE!</v>
      </c>
      <c r="FWS3" s="28" t="e" cm="1" vm="1">
        <f t="array" ref="FWS3">_xlfn._xlws.FILTER(Rutas,_xlfn._xlws.FILTER($B$2:$B$10000,$B$2:$B$10000&lt;&gt;"")=VALUE(INDEX(IdClientes,MATCH(FWS2,Clientes,0))))</f>
        <v>#VALUE!</v>
      </c>
      <c r="FWT3" s="28" t="e" cm="1" vm="1">
        <f t="array" ref="FWT3">_xlfn._xlws.FILTER(Rutas,_xlfn._xlws.FILTER($B$2:$B$10000,$B$2:$B$10000&lt;&gt;"")=VALUE(INDEX(IdClientes,MATCH(FWT2,Clientes,0))))</f>
        <v>#VALUE!</v>
      </c>
      <c r="FWU3" s="28" t="e" cm="1" vm="1">
        <f t="array" ref="FWU3">_xlfn._xlws.FILTER(Rutas,_xlfn._xlws.FILTER($B$2:$B$10000,$B$2:$B$10000&lt;&gt;"")=VALUE(INDEX(IdClientes,MATCH(FWU2,Clientes,0))))</f>
        <v>#VALUE!</v>
      </c>
      <c r="FWV3" s="28" t="e" cm="1" vm="1">
        <f t="array" ref="FWV3">_xlfn._xlws.FILTER(Rutas,_xlfn._xlws.FILTER($B$2:$B$10000,$B$2:$B$10000&lt;&gt;"")=VALUE(INDEX(IdClientes,MATCH(FWV2,Clientes,0))))</f>
        <v>#VALUE!</v>
      </c>
      <c r="FWW3" s="28" t="e" cm="1" vm="1">
        <f t="array" ref="FWW3">_xlfn._xlws.FILTER(Rutas,_xlfn._xlws.FILTER($B$2:$B$10000,$B$2:$B$10000&lt;&gt;"")=VALUE(INDEX(IdClientes,MATCH(FWW2,Clientes,0))))</f>
        <v>#VALUE!</v>
      </c>
      <c r="FWX3" s="28" t="e" cm="1" vm="1">
        <f t="array" ref="FWX3">_xlfn._xlws.FILTER(Rutas,_xlfn._xlws.FILTER($B$2:$B$10000,$B$2:$B$10000&lt;&gt;"")=VALUE(INDEX(IdClientes,MATCH(FWX2,Clientes,0))))</f>
        <v>#VALUE!</v>
      </c>
      <c r="FWY3" s="28" t="e" cm="1" vm="1">
        <f t="array" ref="FWY3">_xlfn._xlws.FILTER(Rutas,_xlfn._xlws.FILTER($B$2:$B$10000,$B$2:$B$10000&lt;&gt;"")=VALUE(INDEX(IdClientes,MATCH(FWY2,Clientes,0))))</f>
        <v>#VALUE!</v>
      </c>
      <c r="FWZ3" s="28" t="e" cm="1" vm="1">
        <f t="array" ref="FWZ3">_xlfn._xlws.FILTER(Rutas,_xlfn._xlws.FILTER($B$2:$B$10000,$B$2:$B$10000&lt;&gt;"")=VALUE(INDEX(IdClientes,MATCH(FWZ2,Clientes,0))))</f>
        <v>#VALUE!</v>
      </c>
      <c r="FXA3" s="28" t="e" cm="1" vm="1">
        <f t="array" ref="FXA3">_xlfn._xlws.FILTER(Rutas,_xlfn._xlws.FILTER($B$2:$B$10000,$B$2:$B$10000&lt;&gt;"")=VALUE(INDEX(IdClientes,MATCH(FXA2,Clientes,0))))</f>
        <v>#VALUE!</v>
      </c>
      <c r="FXB3" s="28" t="e" cm="1" vm="1">
        <f t="array" ref="FXB3">_xlfn._xlws.FILTER(Rutas,_xlfn._xlws.FILTER($B$2:$B$10000,$B$2:$B$10000&lt;&gt;"")=VALUE(INDEX(IdClientes,MATCH(FXB2,Clientes,0))))</f>
        <v>#VALUE!</v>
      </c>
      <c r="FXC3" s="28" t="e" cm="1" vm="1">
        <f t="array" ref="FXC3">_xlfn._xlws.FILTER(Rutas,_xlfn._xlws.FILTER($B$2:$B$10000,$B$2:$B$10000&lt;&gt;"")=VALUE(INDEX(IdClientes,MATCH(FXC2,Clientes,0))))</f>
        <v>#VALUE!</v>
      </c>
      <c r="FXD3" s="28" t="e" cm="1" vm="1">
        <f t="array" ref="FXD3">_xlfn._xlws.FILTER(Rutas,_xlfn._xlws.FILTER($B$2:$B$10000,$B$2:$B$10000&lt;&gt;"")=VALUE(INDEX(IdClientes,MATCH(FXD2,Clientes,0))))</f>
        <v>#VALUE!</v>
      </c>
      <c r="FXE3" s="28" t="e" cm="1" vm="1">
        <f t="array" ref="FXE3">_xlfn._xlws.FILTER(Rutas,_xlfn._xlws.FILTER($B$2:$B$10000,$B$2:$B$10000&lt;&gt;"")=VALUE(INDEX(IdClientes,MATCH(FXE2,Clientes,0))))</f>
        <v>#VALUE!</v>
      </c>
      <c r="FXF3" s="28" t="e" cm="1" vm="1">
        <f t="array" ref="FXF3">_xlfn._xlws.FILTER(Rutas,_xlfn._xlws.FILTER($B$2:$B$10000,$B$2:$B$10000&lt;&gt;"")=VALUE(INDEX(IdClientes,MATCH(FXF2,Clientes,0))))</f>
        <v>#VALUE!</v>
      </c>
      <c r="FXG3" s="28" t="e" cm="1" vm="1">
        <f t="array" ref="FXG3">_xlfn._xlws.FILTER(Rutas,_xlfn._xlws.FILTER($B$2:$B$10000,$B$2:$B$10000&lt;&gt;"")=VALUE(INDEX(IdClientes,MATCH(FXG2,Clientes,0))))</f>
        <v>#VALUE!</v>
      </c>
      <c r="FXH3" s="28" t="e" cm="1" vm="1">
        <f t="array" ref="FXH3">_xlfn._xlws.FILTER(Rutas,_xlfn._xlws.FILTER($B$2:$B$10000,$B$2:$B$10000&lt;&gt;"")=VALUE(INDEX(IdClientes,MATCH(FXH2,Clientes,0))))</f>
        <v>#VALUE!</v>
      </c>
      <c r="FXI3" s="28" t="e" cm="1" vm="1">
        <f t="array" ref="FXI3">_xlfn._xlws.FILTER(Rutas,_xlfn._xlws.FILTER($B$2:$B$10000,$B$2:$B$10000&lt;&gt;"")=VALUE(INDEX(IdClientes,MATCH(FXI2,Clientes,0))))</f>
        <v>#VALUE!</v>
      </c>
      <c r="FXJ3" s="28" t="e" cm="1" vm="1">
        <f t="array" ref="FXJ3">_xlfn._xlws.FILTER(Rutas,_xlfn._xlws.FILTER($B$2:$B$10000,$B$2:$B$10000&lt;&gt;"")=VALUE(INDEX(IdClientes,MATCH(FXJ2,Clientes,0))))</f>
        <v>#VALUE!</v>
      </c>
      <c r="FXK3" s="28" t="e" cm="1" vm="1">
        <f t="array" ref="FXK3">_xlfn._xlws.FILTER(Rutas,_xlfn._xlws.FILTER($B$2:$B$10000,$B$2:$B$10000&lt;&gt;"")=VALUE(INDEX(IdClientes,MATCH(FXK2,Clientes,0))))</f>
        <v>#VALUE!</v>
      </c>
      <c r="FXL3" s="28" t="e" cm="1" vm="1">
        <f t="array" ref="FXL3">_xlfn._xlws.FILTER(Rutas,_xlfn._xlws.FILTER($B$2:$B$10000,$B$2:$B$10000&lt;&gt;"")=VALUE(INDEX(IdClientes,MATCH(FXL2,Clientes,0))))</f>
        <v>#VALUE!</v>
      </c>
      <c r="FXM3" s="28" t="e" cm="1" vm="1">
        <f t="array" ref="FXM3">_xlfn._xlws.FILTER(Rutas,_xlfn._xlws.FILTER($B$2:$B$10000,$B$2:$B$10000&lt;&gt;"")=VALUE(INDEX(IdClientes,MATCH(FXM2,Clientes,0))))</f>
        <v>#VALUE!</v>
      </c>
      <c r="FXN3" s="28" t="e" cm="1" vm="1">
        <f t="array" ref="FXN3">_xlfn._xlws.FILTER(Rutas,_xlfn._xlws.FILTER($B$2:$B$10000,$B$2:$B$10000&lt;&gt;"")=VALUE(INDEX(IdClientes,MATCH(FXN2,Clientes,0))))</f>
        <v>#VALUE!</v>
      </c>
      <c r="FXO3" s="28" t="e" cm="1" vm="1">
        <f t="array" ref="FXO3">_xlfn._xlws.FILTER(Rutas,_xlfn._xlws.FILTER($B$2:$B$10000,$B$2:$B$10000&lt;&gt;"")=VALUE(INDEX(IdClientes,MATCH(FXO2,Clientes,0))))</f>
        <v>#VALUE!</v>
      </c>
      <c r="FXP3" s="28" t="e" cm="1" vm="1">
        <f t="array" ref="FXP3">_xlfn._xlws.FILTER(Rutas,_xlfn._xlws.FILTER($B$2:$B$10000,$B$2:$B$10000&lt;&gt;"")=VALUE(INDEX(IdClientes,MATCH(FXP2,Clientes,0))))</f>
        <v>#VALUE!</v>
      </c>
      <c r="FXQ3" s="28" t="e" cm="1" vm="1">
        <f t="array" ref="FXQ3">_xlfn._xlws.FILTER(Rutas,_xlfn._xlws.FILTER($B$2:$B$10000,$B$2:$B$10000&lt;&gt;"")=VALUE(INDEX(IdClientes,MATCH(FXQ2,Clientes,0))))</f>
        <v>#VALUE!</v>
      </c>
      <c r="FXR3" s="28" t="e" cm="1" vm="1">
        <f t="array" ref="FXR3">_xlfn._xlws.FILTER(Rutas,_xlfn._xlws.FILTER($B$2:$B$10000,$B$2:$B$10000&lt;&gt;"")=VALUE(INDEX(IdClientes,MATCH(FXR2,Clientes,0))))</f>
        <v>#VALUE!</v>
      </c>
      <c r="FXS3" s="28" t="e" cm="1" vm="1">
        <f t="array" ref="FXS3">_xlfn._xlws.FILTER(Rutas,_xlfn._xlws.FILTER($B$2:$B$10000,$B$2:$B$10000&lt;&gt;"")=VALUE(INDEX(IdClientes,MATCH(FXS2,Clientes,0))))</f>
        <v>#VALUE!</v>
      </c>
      <c r="FXT3" s="28" t="e" cm="1" vm="1">
        <f t="array" ref="FXT3">_xlfn._xlws.FILTER(Rutas,_xlfn._xlws.FILTER($B$2:$B$10000,$B$2:$B$10000&lt;&gt;"")=VALUE(INDEX(IdClientes,MATCH(FXT2,Clientes,0))))</f>
        <v>#VALUE!</v>
      </c>
      <c r="FXU3" s="28" t="e" cm="1" vm="1">
        <f t="array" ref="FXU3">_xlfn._xlws.FILTER(Rutas,_xlfn._xlws.FILTER($B$2:$B$10000,$B$2:$B$10000&lt;&gt;"")=VALUE(INDEX(IdClientes,MATCH(FXU2,Clientes,0))))</f>
        <v>#VALUE!</v>
      </c>
      <c r="FXV3" s="28" t="e" cm="1" vm="1">
        <f t="array" ref="FXV3">_xlfn._xlws.FILTER(Rutas,_xlfn._xlws.FILTER($B$2:$B$10000,$B$2:$B$10000&lt;&gt;"")=VALUE(INDEX(IdClientes,MATCH(FXV2,Clientes,0))))</f>
        <v>#VALUE!</v>
      </c>
      <c r="FXW3" s="28" t="e" cm="1" vm="1">
        <f t="array" ref="FXW3">_xlfn._xlws.FILTER(Rutas,_xlfn._xlws.FILTER($B$2:$B$10000,$B$2:$B$10000&lt;&gt;"")=VALUE(INDEX(IdClientes,MATCH(FXW2,Clientes,0))))</f>
        <v>#VALUE!</v>
      </c>
      <c r="FXX3" s="28" t="e" cm="1" vm="1">
        <f t="array" ref="FXX3">_xlfn._xlws.FILTER(Rutas,_xlfn._xlws.FILTER($B$2:$B$10000,$B$2:$B$10000&lt;&gt;"")=VALUE(INDEX(IdClientes,MATCH(FXX2,Clientes,0))))</f>
        <v>#VALUE!</v>
      </c>
      <c r="FXY3" s="28" t="e" cm="1" vm="1">
        <f t="array" ref="FXY3">_xlfn._xlws.FILTER(Rutas,_xlfn._xlws.FILTER($B$2:$B$10000,$B$2:$B$10000&lt;&gt;"")=VALUE(INDEX(IdClientes,MATCH(FXY2,Clientes,0))))</f>
        <v>#VALUE!</v>
      </c>
      <c r="FXZ3" s="28" t="e" cm="1" vm="1">
        <f t="array" ref="FXZ3">_xlfn._xlws.FILTER(Rutas,_xlfn._xlws.FILTER($B$2:$B$10000,$B$2:$B$10000&lt;&gt;"")=VALUE(INDEX(IdClientes,MATCH(FXZ2,Clientes,0))))</f>
        <v>#VALUE!</v>
      </c>
      <c r="FYA3" s="28" t="e" cm="1" vm="1">
        <f t="array" ref="FYA3">_xlfn._xlws.FILTER(Rutas,_xlfn._xlws.FILTER($B$2:$B$10000,$B$2:$B$10000&lt;&gt;"")=VALUE(INDEX(IdClientes,MATCH(FYA2,Clientes,0))))</f>
        <v>#VALUE!</v>
      </c>
      <c r="FYB3" s="28" t="e" cm="1" vm="1">
        <f t="array" ref="FYB3">_xlfn._xlws.FILTER(Rutas,_xlfn._xlws.FILTER($B$2:$B$10000,$B$2:$B$10000&lt;&gt;"")=VALUE(INDEX(IdClientes,MATCH(FYB2,Clientes,0))))</f>
        <v>#VALUE!</v>
      </c>
      <c r="FYC3" s="28" t="e" cm="1" vm="1">
        <f t="array" ref="FYC3">_xlfn._xlws.FILTER(Rutas,_xlfn._xlws.FILTER($B$2:$B$10000,$B$2:$B$10000&lt;&gt;"")=VALUE(INDEX(IdClientes,MATCH(FYC2,Clientes,0))))</f>
        <v>#VALUE!</v>
      </c>
      <c r="FYD3" s="28" t="e" cm="1" vm="1">
        <f t="array" ref="FYD3">_xlfn._xlws.FILTER(Rutas,_xlfn._xlws.FILTER($B$2:$B$10000,$B$2:$B$10000&lt;&gt;"")=VALUE(INDEX(IdClientes,MATCH(FYD2,Clientes,0))))</f>
        <v>#VALUE!</v>
      </c>
      <c r="FYE3" s="28" t="e" cm="1" vm="1">
        <f t="array" ref="FYE3">_xlfn._xlws.FILTER(Rutas,_xlfn._xlws.FILTER($B$2:$B$10000,$B$2:$B$10000&lt;&gt;"")=VALUE(INDEX(IdClientes,MATCH(FYE2,Clientes,0))))</f>
        <v>#VALUE!</v>
      </c>
      <c r="FYF3" s="28" t="e" cm="1" vm="1">
        <f t="array" ref="FYF3">_xlfn._xlws.FILTER(Rutas,_xlfn._xlws.FILTER($B$2:$B$10000,$B$2:$B$10000&lt;&gt;"")=VALUE(INDEX(IdClientes,MATCH(FYF2,Clientes,0))))</f>
        <v>#VALUE!</v>
      </c>
      <c r="FYG3" s="28" t="e" cm="1" vm="1">
        <f t="array" ref="FYG3">_xlfn._xlws.FILTER(Rutas,_xlfn._xlws.FILTER($B$2:$B$10000,$B$2:$B$10000&lt;&gt;"")=VALUE(INDEX(IdClientes,MATCH(FYG2,Clientes,0))))</f>
        <v>#VALUE!</v>
      </c>
      <c r="FYH3" s="28" t="e" cm="1" vm="1">
        <f t="array" ref="FYH3">_xlfn._xlws.FILTER(Rutas,_xlfn._xlws.FILTER($B$2:$B$10000,$B$2:$B$10000&lt;&gt;"")=VALUE(INDEX(IdClientes,MATCH(FYH2,Clientes,0))))</f>
        <v>#VALUE!</v>
      </c>
      <c r="FYI3" s="28" t="e" cm="1" vm="1">
        <f t="array" ref="FYI3">_xlfn._xlws.FILTER(Rutas,_xlfn._xlws.FILTER($B$2:$B$10000,$B$2:$B$10000&lt;&gt;"")=VALUE(INDEX(IdClientes,MATCH(FYI2,Clientes,0))))</f>
        <v>#VALUE!</v>
      </c>
      <c r="FYJ3" s="28" t="e" cm="1" vm="1">
        <f t="array" ref="FYJ3">_xlfn._xlws.FILTER(Rutas,_xlfn._xlws.FILTER($B$2:$B$10000,$B$2:$B$10000&lt;&gt;"")=VALUE(INDEX(IdClientes,MATCH(FYJ2,Clientes,0))))</f>
        <v>#VALUE!</v>
      </c>
      <c r="FYK3" s="28" t="e" cm="1" vm="1">
        <f t="array" ref="FYK3">_xlfn._xlws.FILTER(Rutas,_xlfn._xlws.FILTER($B$2:$B$10000,$B$2:$B$10000&lt;&gt;"")=VALUE(INDEX(IdClientes,MATCH(FYK2,Clientes,0))))</f>
        <v>#VALUE!</v>
      </c>
      <c r="FYL3" s="28" t="e" cm="1" vm="1">
        <f t="array" ref="FYL3">_xlfn._xlws.FILTER(Rutas,_xlfn._xlws.FILTER($B$2:$B$10000,$B$2:$B$10000&lt;&gt;"")=VALUE(INDEX(IdClientes,MATCH(FYL2,Clientes,0))))</f>
        <v>#VALUE!</v>
      </c>
      <c r="FYM3" s="28" t="e" cm="1" vm="1">
        <f t="array" ref="FYM3">_xlfn._xlws.FILTER(Rutas,_xlfn._xlws.FILTER($B$2:$B$10000,$B$2:$B$10000&lt;&gt;"")=VALUE(INDEX(IdClientes,MATCH(FYM2,Clientes,0))))</f>
        <v>#VALUE!</v>
      </c>
      <c r="FYN3" s="28" t="e" cm="1" vm="1">
        <f t="array" ref="FYN3">_xlfn._xlws.FILTER(Rutas,_xlfn._xlws.FILTER($B$2:$B$10000,$B$2:$B$10000&lt;&gt;"")=VALUE(INDEX(IdClientes,MATCH(FYN2,Clientes,0))))</f>
        <v>#VALUE!</v>
      </c>
      <c r="FYO3" s="28" t="e" cm="1" vm="1">
        <f t="array" ref="FYO3">_xlfn._xlws.FILTER(Rutas,_xlfn._xlws.FILTER($B$2:$B$10000,$B$2:$B$10000&lt;&gt;"")=VALUE(INDEX(IdClientes,MATCH(FYO2,Clientes,0))))</f>
        <v>#VALUE!</v>
      </c>
      <c r="FYP3" s="28" t="e" cm="1" vm="1">
        <f t="array" ref="FYP3">_xlfn._xlws.FILTER(Rutas,_xlfn._xlws.FILTER($B$2:$B$10000,$B$2:$B$10000&lt;&gt;"")=VALUE(INDEX(IdClientes,MATCH(FYP2,Clientes,0))))</f>
        <v>#VALUE!</v>
      </c>
      <c r="FYQ3" s="28" t="e" cm="1" vm="1">
        <f t="array" ref="FYQ3">_xlfn._xlws.FILTER(Rutas,_xlfn._xlws.FILTER($B$2:$B$10000,$B$2:$B$10000&lt;&gt;"")=VALUE(INDEX(IdClientes,MATCH(FYQ2,Clientes,0))))</f>
        <v>#VALUE!</v>
      </c>
      <c r="FYR3" s="28" t="e" cm="1" vm="1">
        <f t="array" ref="FYR3">_xlfn._xlws.FILTER(Rutas,_xlfn._xlws.FILTER($B$2:$B$10000,$B$2:$B$10000&lt;&gt;"")=VALUE(INDEX(IdClientes,MATCH(FYR2,Clientes,0))))</f>
        <v>#VALUE!</v>
      </c>
      <c r="FYS3" s="28" t="e" cm="1" vm="1">
        <f t="array" ref="FYS3">_xlfn._xlws.FILTER(Rutas,_xlfn._xlws.FILTER($B$2:$B$10000,$B$2:$B$10000&lt;&gt;"")=VALUE(INDEX(IdClientes,MATCH(FYS2,Clientes,0))))</f>
        <v>#VALUE!</v>
      </c>
      <c r="FYT3" s="28" t="e" cm="1" vm="1">
        <f t="array" ref="FYT3">_xlfn._xlws.FILTER(Rutas,_xlfn._xlws.FILTER($B$2:$B$10000,$B$2:$B$10000&lt;&gt;"")=VALUE(INDEX(IdClientes,MATCH(FYT2,Clientes,0))))</f>
        <v>#VALUE!</v>
      </c>
      <c r="FYU3" s="28" t="e" cm="1" vm="1">
        <f t="array" ref="FYU3">_xlfn._xlws.FILTER(Rutas,_xlfn._xlws.FILTER($B$2:$B$10000,$B$2:$B$10000&lt;&gt;"")=VALUE(INDEX(IdClientes,MATCH(FYU2,Clientes,0))))</f>
        <v>#VALUE!</v>
      </c>
      <c r="FYV3" s="28" t="e" cm="1" vm="1">
        <f t="array" ref="FYV3">_xlfn._xlws.FILTER(Rutas,_xlfn._xlws.FILTER($B$2:$B$10000,$B$2:$B$10000&lt;&gt;"")=VALUE(INDEX(IdClientes,MATCH(FYV2,Clientes,0))))</f>
        <v>#VALUE!</v>
      </c>
      <c r="FYW3" s="28" t="e" cm="1" vm="1">
        <f t="array" ref="FYW3">_xlfn._xlws.FILTER(Rutas,_xlfn._xlws.FILTER($B$2:$B$10000,$B$2:$B$10000&lt;&gt;"")=VALUE(INDEX(IdClientes,MATCH(FYW2,Clientes,0))))</f>
        <v>#VALUE!</v>
      </c>
      <c r="FYX3" s="28" t="e" cm="1" vm="1">
        <f t="array" ref="FYX3">_xlfn._xlws.FILTER(Rutas,_xlfn._xlws.FILTER($B$2:$B$10000,$B$2:$B$10000&lt;&gt;"")=VALUE(INDEX(IdClientes,MATCH(FYX2,Clientes,0))))</f>
        <v>#VALUE!</v>
      </c>
      <c r="FYY3" s="28" t="e" cm="1" vm="1">
        <f t="array" ref="FYY3">_xlfn._xlws.FILTER(Rutas,_xlfn._xlws.FILTER($B$2:$B$10000,$B$2:$B$10000&lt;&gt;"")=VALUE(INDEX(IdClientes,MATCH(FYY2,Clientes,0))))</f>
        <v>#VALUE!</v>
      </c>
      <c r="FYZ3" s="28" t="e" cm="1" vm="1">
        <f t="array" ref="FYZ3">_xlfn._xlws.FILTER(Rutas,_xlfn._xlws.FILTER($B$2:$B$10000,$B$2:$B$10000&lt;&gt;"")=VALUE(INDEX(IdClientes,MATCH(FYZ2,Clientes,0))))</f>
        <v>#VALUE!</v>
      </c>
      <c r="FZA3" s="28" t="e" cm="1" vm="1">
        <f t="array" ref="FZA3">_xlfn._xlws.FILTER(Rutas,_xlfn._xlws.FILTER($B$2:$B$10000,$B$2:$B$10000&lt;&gt;"")=VALUE(INDEX(IdClientes,MATCH(FZA2,Clientes,0))))</f>
        <v>#VALUE!</v>
      </c>
      <c r="FZB3" s="28" t="e" cm="1" vm="1">
        <f t="array" ref="FZB3">_xlfn._xlws.FILTER(Rutas,_xlfn._xlws.FILTER($B$2:$B$10000,$B$2:$B$10000&lt;&gt;"")=VALUE(INDEX(IdClientes,MATCH(FZB2,Clientes,0))))</f>
        <v>#VALUE!</v>
      </c>
      <c r="FZC3" s="28" t="e" cm="1" vm="1">
        <f t="array" ref="FZC3">_xlfn._xlws.FILTER(Rutas,_xlfn._xlws.FILTER($B$2:$B$10000,$B$2:$B$10000&lt;&gt;"")=VALUE(INDEX(IdClientes,MATCH(FZC2,Clientes,0))))</f>
        <v>#VALUE!</v>
      </c>
      <c r="FZD3" s="28" t="e" cm="1" vm="1">
        <f t="array" ref="FZD3">_xlfn._xlws.FILTER(Rutas,_xlfn._xlws.FILTER($B$2:$B$10000,$B$2:$B$10000&lt;&gt;"")=VALUE(INDEX(IdClientes,MATCH(FZD2,Clientes,0))))</f>
        <v>#VALUE!</v>
      </c>
      <c r="FZE3" s="28" t="e" cm="1" vm="1">
        <f t="array" ref="FZE3">_xlfn._xlws.FILTER(Rutas,_xlfn._xlws.FILTER($B$2:$B$10000,$B$2:$B$10000&lt;&gt;"")=VALUE(INDEX(IdClientes,MATCH(FZE2,Clientes,0))))</f>
        <v>#VALUE!</v>
      </c>
      <c r="FZF3" s="28" t="e" cm="1" vm="1">
        <f t="array" ref="FZF3">_xlfn._xlws.FILTER(Rutas,_xlfn._xlws.FILTER($B$2:$B$10000,$B$2:$B$10000&lt;&gt;"")=VALUE(INDEX(IdClientes,MATCH(FZF2,Clientes,0))))</f>
        <v>#VALUE!</v>
      </c>
      <c r="FZG3" s="28" t="e" cm="1" vm="1">
        <f t="array" ref="FZG3">_xlfn._xlws.FILTER(Rutas,_xlfn._xlws.FILTER($B$2:$B$10000,$B$2:$B$10000&lt;&gt;"")=VALUE(INDEX(IdClientes,MATCH(FZG2,Clientes,0))))</f>
        <v>#VALUE!</v>
      </c>
      <c r="FZH3" s="28" t="e" cm="1" vm="1">
        <f t="array" ref="FZH3">_xlfn._xlws.FILTER(Rutas,_xlfn._xlws.FILTER($B$2:$B$10000,$B$2:$B$10000&lt;&gt;"")=VALUE(INDEX(IdClientes,MATCH(FZH2,Clientes,0))))</f>
        <v>#VALUE!</v>
      </c>
      <c r="FZI3" s="28" t="e" cm="1" vm="1">
        <f t="array" ref="FZI3">_xlfn._xlws.FILTER(Rutas,_xlfn._xlws.FILTER($B$2:$B$10000,$B$2:$B$10000&lt;&gt;"")=VALUE(INDEX(IdClientes,MATCH(FZI2,Clientes,0))))</f>
        <v>#VALUE!</v>
      </c>
      <c r="FZJ3" s="28" t="e" cm="1" vm="1">
        <f t="array" ref="FZJ3">_xlfn._xlws.FILTER(Rutas,_xlfn._xlws.FILTER($B$2:$B$10000,$B$2:$B$10000&lt;&gt;"")=VALUE(INDEX(IdClientes,MATCH(FZJ2,Clientes,0))))</f>
        <v>#VALUE!</v>
      </c>
      <c r="FZK3" s="28" t="e" cm="1" vm="1">
        <f t="array" ref="FZK3">_xlfn._xlws.FILTER(Rutas,_xlfn._xlws.FILTER($B$2:$B$10000,$B$2:$B$10000&lt;&gt;"")=VALUE(INDEX(IdClientes,MATCH(FZK2,Clientes,0))))</f>
        <v>#VALUE!</v>
      </c>
      <c r="FZL3" s="28" t="e" cm="1" vm="1">
        <f t="array" ref="FZL3">_xlfn._xlws.FILTER(Rutas,_xlfn._xlws.FILTER($B$2:$B$10000,$B$2:$B$10000&lt;&gt;"")=VALUE(INDEX(IdClientes,MATCH(FZL2,Clientes,0))))</f>
        <v>#VALUE!</v>
      </c>
      <c r="FZM3" s="28" t="e" cm="1" vm="1">
        <f t="array" ref="FZM3">_xlfn._xlws.FILTER(Rutas,_xlfn._xlws.FILTER($B$2:$B$10000,$B$2:$B$10000&lt;&gt;"")=VALUE(INDEX(IdClientes,MATCH(FZM2,Clientes,0))))</f>
        <v>#VALUE!</v>
      </c>
      <c r="FZN3" s="28" t="e" cm="1" vm="1">
        <f t="array" ref="FZN3">_xlfn._xlws.FILTER(Rutas,_xlfn._xlws.FILTER($B$2:$B$10000,$B$2:$B$10000&lt;&gt;"")=VALUE(INDEX(IdClientes,MATCH(FZN2,Clientes,0))))</f>
        <v>#VALUE!</v>
      </c>
      <c r="FZO3" s="28" t="e" cm="1" vm="1">
        <f t="array" ref="FZO3">_xlfn._xlws.FILTER(Rutas,_xlfn._xlws.FILTER($B$2:$B$10000,$B$2:$B$10000&lt;&gt;"")=VALUE(INDEX(IdClientes,MATCH(FZO2,Clientes,0))))</f>
        <v>#VALUE!</v>
      </c>
      <c r="FZP3" s="28" t="e" cm="1" vm="1">
        <f t="array" ref="FZP3">_xlfn._xlws.FILTER(Rutas,_xlfn._xlws.FILTER($B$2:$B$10000,$B$2:$B$10000&lt;&gt;"")=VALUE(INDEX(IdClientes,MATCH(FZP2,Clientes,0))))</f>
        <v>#VALUE!</v>
      </c>
      <c r="FZQ3" s="28" t="e" cm="1" vm="1">
        <f t="array" ref="FZQ3">_xlfn._xlws.FILTER(Rutas,_xlfn._xlws.FILTER($B$2:$B$10000,$B$2:$B$10000&lt;&gt;"")=VALUE(INDEX(IdClientes,MATCH(FZQ2,Clientes,0))))</f>
        <v>#VALUE!</v>
      </c>
      <c r="FZR3" s="28" t="e" cm="1" vm="1">
        <f t="array" ref="FZR3">_xlfn._xlws.FILTER(Rutas,_xlfn._xlws.FILTER($B$2:$B$10000,$B$2:$B$10000&lt;&gt;"")=VALUE(INDEX(IdClientes,MATCH(FZR2,Clientes,0))))</f>
        <v>#VALUE!</v>
      </c>
      <c r="FZS3" s="28" t="e" cm="1" vm="1">
        <f t="array" ref="FZS3">_xlfn._xlws.FILTER(Rutas,_xlfn._xlws.FILTER($B$2:$B$10000,$B$2:$B$10000&lt;&gt;"")=VALUE(INDEX(IdClientes,MATCH(FZS2,Clientes,0))))</f>
        <v>#VALUE!</v>
      </c>
      <c r="FZT3" s="28" t="e" cm="1" vm="1">
        <f t="array" ref="FZT3">_xlfn._xlws.FILTER(Rutas,_xlfn._xlws.FILTER($B$2:$B$10000,$B$2:$B$10000&lt;&gt;"")=VALUE(INDEX(IdClientes,MATCH(FZT2,Clientes,0))))</f>
        <v>#VALUE!</v>
      </c>
      <c r="FZU3" s="28" t="e" cm="1" vm="1">
        <f t="array" ref="FZU3">_xlfn._xlws.FILTER(Rutas,_xlfn._xlws.FILTER($B$2:$B$10000,$B$2:$B$10000&lt;&gt;"")=VALUE(INDEX(IdClientes,MATCH(FZU2,Clientes,0))))</f>
        <v>#VALUE!</v>
      </c>
      <c r="FZV3" s="28" t="e" cm="1" vm="1">
        <f t="array" ref="FZV3">_xlfn._xlws.FILTER(Rutas,_xlfn._xlws.FILTER($B$2:$B$10000,$B$2:$B$10000&lt;&gt;"")=VALUE(INDEX(IdClientes,MATCH(FZV2,Clientes,0))))</f>
        <v>#VALUE!</v>
      </c>
      <c r="FZW3" s="28" t="e" cm="1" vm="1">
        <f t="array" ref="FZW3">_xlfn._xlws.FILTER(Rutas,_xlfn._xlws.FILTER($B$2:$B$10000,$B$2:$B$10000&lt;&gt;"")=VALUE(INDEX(IdClientes,MATCH(FZW2,Clientes,0))))</f>
        <v>#VALUE!</v>
      </c>
      <c r="FZX3" s="28" t="e" cm="1" vm="1">
        <f t="array" ref="FZX3">_xlfn._xlws.FILTER(Rutas,_xlfn._xlws.FILTER($B$2:$B$10000,$B$2:$B$10000&lt;&gt;"")=VALUE(INDEX(IdClientes,MATCH(FZX2,Clientes,0))))</f>
        <v>#VALUE!</v>
      </c>
      <c r="FZY3" s="28" t="e" cm="1" vm="1">
        <f t="array" ref="FZY3">_xlfn._xlws.FILTER(Rutas,_xlfn._xlws.FILTER($B$2:$B$10000,$B$2:$B$10000&lt;&gt;"")=VALUE(INDEX(IdClientes,MATCH(FZY2,Clientes,0))))</f>
        <v>#VALUE!</v>
      </c>
    </row>
    <row r="4" spans="1:4757" x14ac:dyDescent="0.25">
      <c r="E4" s="28" t="str">
        <v>10248-TOTOLAPAN, MORELOS / TIJUANA, BAJA CALIFORNIA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/>
  </sheetPr>
  <dimension ref="A1:B4"/>
  <sheetViews>
    <sheetView workbookViewId="0">
      <selection activeCell="B4" sqref="A2:B4"/>
    </sheetView>
  </sheetViews>
  <sheetFormatPr defaultColWidth="9.28515625" defaultRowHeight="15" x14ac:dyDescent="0.25"/>
  <cols>
    <col min="1" max="1" width="26.28515625" customWidth="1"/>
    <col min="2" max="11" width="13.5703125" bestFit="1" customWidth="1"/>
  </cols>
  <sheetData>
    <row r="1" spans="1:2" ht="18.75" customHeight="1" x14ac:dyDescent="0.25">
      <c r="A1" s="25" t="s">
        <v>271</v>
      </c>
      <c r="B1" s="25" t="s">
        <v>269</v>
      </c>
    </row>
    <row r="2" spans="1:2" x14ac:dyDescent="0.25">
      <c r="A2" t="s">
        <v>277</v>
      </c>
      <c r="B2">
        <v>40193</v>
      </c>
    </row>
    <row r="3" spans="1:2" x14ac:dyDescent="0.25">
      <c r="A3" t="s">
        <v>278</v>
      </c>
      <c r="B3">
        <v>40193</v>
      </c>
    </row>
    <row r="4" spans="1:2" x14ac:dyDescent="0.25">
      <c r="A4" t="s">
        <v>279</v>
      </c>
      <c r="B4">
        <v>40193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Asignar datos</vt:lpstr>
      <vt:lpstr>Instrucciones de llenado</vt:lpstr>
      <vt:lpstr>Forma de pago</vt:lpstr>
      <vt:lpstr>Unidad de embalaje</vt:lpstr>
      <vt:lpstr>Tipo de unidad</vt:lpstr>
      <vt:lpstr>Región de transito</vt:lpstr>
      <vt:lpstr>Clientes</vt:lpstr>
      <vt:lpstr>Rutas-Trayectos</vt:lpstr>
      <vt:lpstr>Origen-Remitente</vt:lpstr>
      <vt:lpstr>Clientes</vt:lpstr>
      <vt:lpstr>RemitenteDestinatario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Baldo Campos</dc:creator>
  <cp:keywords/>
  <dc:description/>
  <cp:lastModifiedBy>Calidad ERP</cp:lastModifiedBy>
  <cp:revision/>
  <dcterms:created xsi:type="dcterms:W3CDTF">2024-12-20T21:42:00Z</dcterms:created>
  <dcterms:modified xsi:type="dcterms:W3CDTF">2025-04-24T00:15:14Z</dcterms:modified>
  <cp:category/>
  <cp:contentStatus/>
</cp:coreProperties>
</file>